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igh Level Breakdown" sheetId="1" state="visible" r:id="rId1"/>
    <sheet xmlns:r="http://schemas.openxmlformats.org/officeDocument/2006/relationships" name="Course - Full Hourly Breakdown" sheetId="2" state="visible" r:id="rId2"/>
    <sheet xmlns:r="http://schemas.openxmlformats.org/officeDocument/2006/relationships" name="Entrepreneurship Curriculum - H" sheetId="3" state="visible" r:id="rId3"/>
    <sheet xmlns:r="http://schemas.openxmlformats.org/officeDocument/2006/relationships" name="AI Tracks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i val="1"/>
      <color theme="1"/>
      <scheme val="minor"/>
    </font>
    <font>
      <name val="Arial"/>
      <color theme="1"/>
      <scheme val="minor"/>
    </font>
    <font>
      <name val="Arial"/>
      <color rgb="FFFFFFFF"/>
      <scheme val="minor"/>
    </font>
    <font>
      <b val="1"/>
    </font>
    <font>
      <b val="1"/>
      <color rgb="00FFFFFF"/>
    </font>
  </fonts>
  <fills count="10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001F4E78"/>
        <bgColor rgb="001F4E78"/>
      </patternFill>
    </fill>
  </fills>
  <borders count="1">
    <border/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3" fillId="2" borderId="0" pivotButton="0" quotePrefix="0" xfId="0"/>
    <xf numFmtId="0" fontId="1" fillId="3" borderId="0" pivotButton="0" quotePrefix="0" xfId="0"/>
    <xf numFmtId="0" fontId="1" fillId="3" borderId="0" pivotButton="0" quotePrefix="0" xfId="0"/>
    <xf numFmtId="0" fontId="3" fillId="4" borderId="0" applyAlignment="1" pivotButton="0" quotePrefix="0" xfId="0">
      <alignment wrapText="1"/>
    </xf>
    <xf numFmtId="0" fontId="3" fillId="4" borderId="0" pivotButton="0" quotePrefix="0" xfId="0"/>
    <xf numFmtId="0" fontId="1" fillId="0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6" borderId="0" pivotButton="0" quotePrefix="0" xfId="0"/>
    <xf numFmtId="0" fontId="3" fillId="6" borderId="0" applyAlignment="1" pivotButton="0" quotePrefix="0" xfId="0">
      <alignment wrapText="1"/>
    </xf>
    <xf numFmtId="0" fontId="3" fillId="6" borderId="0" pivotButton="0" quotePrefix="0" xfId="0"/>
    <xf numFmtId="0" fontId="4" fillId="7" borderId="0" applyAlignment="1" pivotButton="0" quotePrefix="0" xfId="0">
      <alignment horizontal="center" wrapText="1"/>
    </xf>
    <xf numFmtId="0" fontId="3" fillId="7" borderId="0" pivotButton="0" quotePrefix="0" xfId="0"/>
    <xf numFmtId="0" fontId="1" fillId="8" borderId="0" pivotButton="0" quotePrefix="0" xfId="0"/>
    <xf numFmtId="0" fontId="1" fillId="8" borderId="0" pivotButton="0" quotePrefix="0" xfId="0"/>
    <xf numFmtId="0" fontId="3" fillId="8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24"/>
  <sheetViews>
    <sheetView workbookViewId="0">
      <selection activeCell="A1" sqref="A1"/>
    </sheetView>
  </sheetViews>
  <sheetFormatPr baseColWidth="8" defaultColWidth="12.63" defaultRowHeight="15.75" customHeight="1"/>
  <cols>
    <col width="37.25" customWidth="1" style="25" min="1" max="1"/>
    <col width="30.75" customWidth="1" style="25" min="3" max="3"/>
    <col width="21.5" customWidth="1" style="25" min="4" max="4"/>
    <col width="18.5" customWidth="1" style="25" min="7" max="7"/>
    <col width="15.75" customWidth="1" style="25" min="12" max="12"/>
  </cols>
  <sheetData>
    <row r="1">
      <c r="A1" s="6" t="inlineStr">
        <is>
          <t>Course Planning</t>
        </is>
      </c>
    </row>
    <row r="4">
      <c r="A4" s="6" t="inlineStr">
        <is>
          <t>Daily Hours</t>
        </is>
      </c>
      <c r="D4" s="2" t="inlineStr">
        <is>
          <t>Minutes</t>
        </is>
      </c>
      <c r="E4" s="2" t="inlineStr">
        <is>
          <t>Hours</t>
        </is>
      </c>
    </row>
    <row r="5">
      <c r="A5" s="2" t="inlineStr">
        <is>
          <t>9:30 - 3:30</t>
        </is>
      </c>
      <c r="B5" s="4" t="inlineStr">
        <is>
          <t>9:30 - 10:00</t>
        </is>
      </c>
      <c r="C5" s="4" t="inlineStr">
        <is>
          <t>Ice Breaker &amp; Daily Orientation</t>
        </is>
      </c>
      <c r="D5" s="4" t="n">
        <v>30</v>
      </c>
      <c r="E5" s="4">
        <f>D5/60</f>
        <v/>
      </c>
    </row>
    <row r="6">
      <c r="B6" s="4" t="inlineStr">
        <is>
          <t xml:space="preserve">10:00 - 12:00 </t>
        </is>
      </c>
      <c r="C6" s="4" t="inlineStr">
        <is>
          <t>Entrepeneurship Instruction</t>
        </is>
      </c>
      <c r="D6" s="4" t="n">
        <v>120</v>
      </c>
      <c r="E6" s="4">
        <f>D6/60</f>
        <v/>
      </c>
      <c r="J6" s="6" t="inlineStr">
        <is>
          <t>Total Instructional Hours</t>
        </is>
      </c>
    </row>
    <row r="7">
      <c r="B7" s="4" t="inlineStr">
        <is>
          <t>12:00 - 12:30</t>
        </is>
      </c>
      <c r="C7" s="4" t="inlineStr">
        <is>
          <t>Lunch</t>
        </is>
      </c>
      <c r="D7" s="4" t="n">
        <v>30</v>
      </c>
      <c r="E7" s="4">
        <f>D7/60</f>
        <v/>
      </c>
    </row>
    <row r="8">
      <c r="B8" s="4" t="inlineStr">
        <is>
          <t>12:30 - 1:30</t>
        </is>
      </c>
      <c r="C8" s="4" t="inlineStr">
        <is>
          <t>Entrepeneurship Instruction</t>
        </is>
      </c>
      <c r="D8" s="4" t="n">
        <v>60</v>
      </c>
      <c r="E8" s="4">
        <f>D8/60</f>
        <v/>
      </c>
      <c r="K8" s="4" t="inlineStr">
        <is>
          <t>Total</t>
        </is>
      </c>
      <c r="L8" s="16" t="inlineStr">
        <is>
          <t>Entrepreneurship Hours</t>
        </is>
      </c>
      <c r="M8" s="4" t="inlineStr">
        <is>
          <t>AI Hours</t>
        </is>
      </c>
    </row>
    <row r="9">
      <c r="B9" s="4" t="inlineStr">
        <is>
          <t>1:30 - 3:00</t>
        </is>
      </c>
      <c r="C9" s="4" t="inlineStr">
        <is>
          <t>AI Instruction</t>
        </is>
      </c>
      <c r="D9" s="4" t="n">
        <v>90</v>
      </c>
      <c r="E9" s="4">
        <f>D9/60</f>
        <v/>
      </c>
      <c r="J9" s="4" t="inlineStr">
        <is>
          <t>Week 1</t>
        </is>
      </c>
      <c r="K9" s="4">
        <f>E13-B21</f>
        <v/>
      </c>
      <c r="L9" s="4">
        <f>((E6+E8)*5)-2</f>
        <v/>
      </c>
      <c r="M9" s="4">
        <f>1.5</f>
        <v/>
      </c>
    </row>
    <row r="10">
      <c r="B10" s="4" t="inlineStr">
        <is>
          <t>3:00 - 3:30</t>
        </is>
      </c>
      <c r="C10" s="4" t="inlineStr">
        <is>
          <t>Close Out</t>
        </is>
      </c>
      <c r="D10" s="4" t="n">
        <v>30</v>
      </c>
      <c r="E10" s="4">
        <f>D10/60</f>
        <v/>
      </c>
      <c r="J10" s="4" t="inlineStr">
        <is>
          <t>Week 2</t>
        </is>
      </c>
      <c r="K10" s="4">
        <f>E13-B21-B22</f>
        <v/>
      </c>
      <c r="L10" s="4">
        <f>(3*3)+2+1</f>
        <v/>
      </c>
      <c r="M10" s="4">
        <f>K10-L10</f>
        <v/>
      </c>
    </row>
    <row r="11">
      <c r="J11" s="4" t="inlineStr">
        <is>
          <t>Week 3</t>
        </is>
      </c>
      <c r="K11" s="4" t="n">
        <v>17.5</v>
      </c>
      <c r="L11" s="4" t="n">
        <v>12</v>
      </c>
      <c r="M11" s="4">
        <f>K11-L11</f>
        <v/>
      </c>
    </row>
    <row r="12">
      <c r="D12" s="16" t="inlineStr">
        <is>
          <t>Daily Instructional Hours</t>
        </is>
      </c>
      <c r="E12" s="4">
        <f>E6+E8+E9</f>
        <v/>
      </c>
      <c r="G12" s="4" t="inlineStr">
        <is>
          <t>Daily AI Hours</t>
        </is>
      </c>
      <c r="H12" s="4">
        <f>E9</f>
        <v/>
      </c>
      <c r="J12" s="4" t="inlineStr">
        <is>
          <t>Week 4</t>
        </is>
      </c>
      <c r="K12" s="4" t="n">
        <v>17.5</v>
      </c>
      <c r="L12" s="4" t="n">
        <v>12</v>
      </c>
      <c r="M12" s="4">
        <f>K12-L12</f>
        <v/>
      </c>
    </row>
    <row r="13">
      <c r="D13" s="16" t="inlineStr">
        <is>
          <t>Weekly Instructional Hours</t>
        </is>
      </c>
      <c r="E13" s="4">
        <f>E12*5</f>
        <v/>
      </c>
      <c r="G13" s="16" t="inlineStr">
        <is>
          <t>Weekly AI Hours</t>
        </is>
      </c>
      <c r="H13" s="4">
        <f>H12*5</f>
        <v/>
      </c>
      <c r="K13" s="6">
        <f>SUM(K9:K12)</f>
        <v/>
      </c>
      <c r="L13" s="6">
        <f>SUM(L9:L12)</f>
        <v/>
      </c>
      <c r="M13" s="6">
        <f>SUM(M9:M12)</f>
        <v/>
      </c>
    </row>
    <row r="14">
      <c r="D14" s="7" t="inlineStr">
        <is>
          <t>Total Course Instructional Hours</t>
        </is>
      </c>
      <c r="E14" s="8">
        <f>E13*4</f>
        <v/>
      </c>
      <c r="F14" s="9" t="n"/>
      <c r="G14" s="7" t="inlineStr">
        <is>
          <t>Total Course AI Hours</t>
        </is>
      </c>
      <c r="H14" s="8">
        <f>H13*4</f>
        <v/>
      </c>
    </row>
    <row r="15">
      <c r="D15" s="9" t="n"/>
      <c r="E15" s="9" t="n"/>
      <c r="F15" s="9" t="n"/>
      <c r="G15" s="7" t="inlineStr">
        <is>
          <t>Total Course Entrepreneurship Hours</t>
        </is>
      </c>
      <c r="H15" s="8">
        <f>E14-H14</f>
        <v/>
      </c>
    </row>
    <row r="20">
      <c r="A20" s="6" t="inlineStr">
        <is>
          <t>Events &amp; Additional Programming</t>
        </is>
      </c>
      <c r="B20" s="4" t="inlineStr">
        <is>
          <t>Weekly Hours</t>
        </is>
      </c>
      <c r="C20" s="4" t="inlineStr">
        <is>
          <t>Course Frequency</t>
        </is>
      </c>
      <c r="D20" s="16" t="inlineStr">
        <is>
          <t>Occurence Throughout Course</t>
        </is>
      </c>
      <c r="E20" s="4" t="inlineStr">
        <is>
          <t>Hours per Course</t>
        </is>
      </c>
    </row>
    <row r="21">
      <c r="A21" s="4" t="inlineStr">
        <is>
          <t>Guest Speaker &amp; Activity</t>
        </is>
      </c>
      <c r="B21" s="4" t="n">
        <v>2</v>
      </c>
      <c r="C21" s="4" t="inlineStr">
        <is>
          <t>Weeks 1,2,3,4</t>
        </is>
      </c>
      <c r="D21" s="4" t="n">
        <v>4</v>
      </c>
      <c r="E21" s="4">
        <f>B21*D21</f>
        <v/>
      </c>
    </row>
    <row r="22">
      <c r="A22" s="4" t="inlineStr">
        <is>
          <t>Site Visit &amp; Mentorship Programming</t>
        </is>
      </c>
      <c r="B22" s="4" t="n">
        <v>3</v>
      </c>
      <c r="C22" s="4" t="inlineStr">
        <is>
          <t>Weeks 2,3,4</t>
        </is>
      </c>
      <c r="D22" s="4" t="n">
        <v>3</v>
      </c>
      <c r="E22" s="4">
        <f>B22*D22</f>
        <v/>
      </c>
    </row>
    <row r="24">
      <c r="D24" s="16" t="inlineStr">
        <is>
          <t>Total Non-Instruction Hours</t>
        </is>
      </c>
      <c r="E24" s="6">
        <f>SUM(E21:E22)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70"/>
  <sheetViews>
    <sheetView workbookViewId="0">
      <selection activeCell="A1" sqref="A1"/>
    </sheetView>
  </sheetViews>
  <sheetFormatPr baseColWidth="8" defaultColWidth="12.63" defaultRowHeight="15.75" customHeight="1"/>
  <cols>
    <col width="27.63" customWidth="1" style="25" min="1" max="1"/>
    <col width="27.38" customWidth="1" style="25" min="2" max="2"/>
    <col width="22.25" customWidth="1" style="25" min="6" max="6"/>
    <col width="24.25" customWidth="1" style="25" min="9" max="9"/>
  </cols>
  <sheetData>
    <row r="1">
      <c r="A1" s="11" t="inlineStr">
        <is>
          <t>WEEK 1</t>
        </is>
      </c>
      <c r="B1" s="11" t="n"/>
      <c r="C1" s="11" t="n"/>
      <c r="D1" s="11" t="n"/>
      <c r="F1" s="0" t="inlineStr">
        <is>
          <t>AI Literacy Module / Notes</t>
        </is>
      </c>
      <c r="H1" s="26" t="n"/>
    </row>
    <row r="2">
      <c r="A2" s="12" t="inlineStr">
        <is>
          <t>Day 1 - Mon, June 29</t>
        </is>
      </c>
      <c r="B2" s="13" t="n"/>
      <c r="C2" s="13" t="n"/>
      <c r="D2" s="13" t="n"/>
      <c r="F2" s="14" t="inlineStr">
        <is>
          <t>Total AI Instruction Hours</t>
        </is>
      </c>
      <c r="G2" s="4">
        <f>(C22+C30+C43+C55+C65+C75+C90+C101+C111+C121+C137+C150+C160+C169)/60</f>
        <v/>
      </c>
    </row>
    <row r="3">
      <c r="A3" s="4" t="inlineStr">
        <is>
          <t>Morning Block</t>
        </is>
      </c>
      <c r="B3" s="16" t="inlineStr">
        <is>
          <t>Ice Breaker &amp; Orientation</t>
        </is>
      </c>
      <c r="C3" s="4" t="n">
        <v>60</v>
      </c>
      <c r="D3" s="4">
        <f>C3/60</f>
        <v/>
      </c>
    </row>
    <row r="4">
      <c r="B4" s="16" t="inlineStr">
        <is>
          <t>Journey Onboarding</t>
        </is>
      </c>
      <c r="C4" s="4" t="n">
        <v>30</v>
      </c>
      <c r="D4" s="4">
        <f>C4/60</f>
        <v/>
      </c>
    </row>
    <row r="5">
      <c r="B5" s="16" t="inlineStr">
        <is>
          <t>Onboarding Survey</t>
        </is>
      </c>
      <c r="C5" s="4" t="n">
        <v>30</v>
      </c>
      <c r="D5" s="4">
        <f>C5/60</f>
        <v/>
      </c>
    </row>
    <row r="6">
      <c r="D6" s="6">
        <f>SUM(D3:D5)</f>
        <v/>
      </c>
    </row>
    <row r="7">
      <c r="A7" s="15" t="inlineStr">
        <is>
          <t>Lunch</t>
        </is>
      </c>
      <c r="B7" s="15" t="n"/>
      <c r="C7" s="15" t="n"/>
      <c r="D7" s="15" t="n">
        <v>0.5</v>
      </c>
    </row>
    <row r="8">
      <c r="A8" s="4" t="inlineStr">
        <is>
          <t>Afternoon Block</t>
        </is>
      </c>
      <c r="B8" s="4" t="inlineStr">
        <is>
          <t>Incubator Community Norm Setting</t>
        </is>
      </c>
      <c r="C8" s="4" t="n">
        <v>30</v>
      </c>
      <c r="D8" s="4">
        <f>C8/60</f>
        <v/>
      </c>
    </row>
    <row r="9">
      <c r="B9" s="4" t="inlineStr">
        <is>
          <t>Entrepreneurship Introduction</t>
        </is>
      </c>
      <c r="C9" s="4" t="n">
        <v>30</v>
      </c>
      <c r="D9" s="4">
        <f>C9/60</f>
        <v/>
      </c>
    </row>
    <row r="10">
      <c r="B10" s="4" t="inlineStr">
        <is>
          <t>Close Out</t>
        </is>
      </c>
      <c r="C10" s="4" t="n">
        <v>30</v>
      </c>
      <c r="D10" s="4">
        <f>C10/60</f>
        <v/>
      </c>
    </row>
    <row r="11">
      <c r="D11" s="6">
        <f>SUM(D3:D10)</f>
        <v/>
      </c>
    </row>
    <row r="12">
      <c r="A12" s="12" t="inlineStr">
        <is>
          <t>Day 2 - Tues, June 30</t>
        </is>
      </c>
      <c r="B12" s="13" t="n"/>
      <c r="C12" s="13" t="n"/>
      <c r="D12" s="13" t="n"/>
    </row>
    <row r="13">
      <c r="A13" s="4" t="inlineStr">
        <is>
          <t>Morning Block</t>
        </is>
      </c>
      <c r="B13" s="16" t="inlineStr">
        <is>
          <t>Icebreaker &amp; Daily Orientation</t>
        </is>
      </c>
      <c r="C13" s="4" t="n">
        <v>30</v>
      </c>
      <c r="D13" s="4">
        <f>C13/60</f>
        <v/>
      </c>
    </row>
    <row r="14">
      <c r="B14" s="16" t="inlineStr">
        <is>
          <t>Entrepreneurship as Problem Solving &amp; Survey</t>
        </is>
      </c>
      <c r="C14" s="4" t="n">
        <v>45</v>
      </c>
      <c r="D14" s="4">
        <f>C14/60</f>
        <v/>
      </c>
    </row>
    <row r="15">
      <c r="B15" s="16" t="inlineStr">
        <is>
          <t>Team Announcement</t>
        </is>
      </c>
      <c r="C15" s="4" t="n">
        <v>15</v>
      </c>
      <c r="D15" s="4">
        <f>C15/60</f>
        <v/>
      </c>
    </row>
    <row r="16">
      <c r="A16" s="16" t="n"/>
      <c r="B16" s="4" t="inlineStr">
        <is>
          <t>Your Entrepreneurial Profile</t>
        </is>
      </c>
      <c r="C16" s="4" t="n">
        <v>45</v>
      </c>
      <c r="D16" s="4">
        <f>C16/60</f>
        <v/>
      </c>
    </row>
    <row r="17">
      <c r="A17" s="16" t="n"/>
      <c r="B17" s="4" t="inlineStr">
        <is>
          <t>Startup Team Announcement</t>
        </is>
      </c>
      <c r="C17" s="4" t="n">
        <v>15</v>
      </c>
      <c r="D17" s="6">
        <f>C17/60</f>
        <v/>
      </c>
    </row>
    <row r="18">
      <c r="A18" s="15" t="inlineStr">
        <is>
          <t>Lunch</t>
        </is>
      </c>
      <c r="B18" s="15" t="n"/>
      <c r="C18" s="15" t="n"/>
      <c r="D18" s="15" t="n">
        <v>0.5</v>
      </c>
    </row>
    <row r="19">
      <c r="A19" s="4" t="inlineStr">
        <is>
          <t>Afternoon Block</t>
        </is>
      </c>
      <c r="B19" s="16" t="inlineStr">
        <is>
          <t>The Startup Team - Startup Team Profiles &amp; Get to Know</t>
        </is>
      </c>
      <c r="C19" s="4" t="n">
        <v>30</v>
      </c>
      <c r="D19" s="4">
        <f>C19/60</f>
        <v/>
      </c>
      <c r="F19" s="4" t="inlineStr">
        <is>
          <t>History of AI</t>
        </is>
      </c>
    </row>
    <row r="20">
      <c r="B20" s="4" t="inlineStr">
        <is>
          <t>Team Agreements</t>
        </is>
      </c>
      <c r="C20" s="4" t="n">
        <v>30</v>
      </c>
      <c r="D20" s="4">
        <f>C20/60</f>
        <v/>
      </c>
      <c r="F20" s="4" t="inlineStr">
        <is>
          <t>Prompting Basic</t>
        </is>
      </c>
    </row>
    <row r="21">
      <c r="A21" s="16" t="n"/>
      <c r="B21" s="4" t="inlineStr">
        <is>
          <t>Tech for Entrepreneurship</t>
        </is>
      </c>
      <c r="C21" s="4" t="n">
        <v>30</v>
      </c>
      <c r="D21" s="4">
        <f>C21/60</f>
        <v/>
      </c>
      <c r="F21" s="4" t="inlineStr">
        <is>
          <t xml:space="preserve">Challenge: </t>
        </is>
      </c>
    </row>
    <row r="22">
      <c r="A22" s="16" t="n"/>
      <c r="B22" s="19" t="inlineStr">
        <is>
          <t>AI Introduction Block</t>
        </is>
      </c>
      <c r="C22" s="19" t="n">
        <v>90</v>
      </c>
      <c r="D22" s="19">
        <f>C22/60</f>
        <v/>
      </c>
      <c r="F22" s="4" t="inlineStr">
        <is>
          <t>Foundations: LLM Mechanics. Skills: Probabilistic Logic (C), Structured Prompting (T), Algorithmic Equity (S). Tools: Claude 4, Perplexity Pro.</t>
        </is>
      </c>
      <c r="H22" s="0" t="n"/>
    </row>
    <row r="23">
      <c r="A23" s="16" t="n"/>
      <c r="B23" s="4" t="inlineStr">
        <is>
          <t>Close Out</t>
        </is>
      </c>
      <c r="C23" s="4" t="n">
        <v>30</v>
      </c>
      <c r="D23" s="4">
        <f>C23/60</f>
        <v/>
      </c>
    </row>
    <row r="24">
      <c r="A24" s="16" t="n"/>
      <c r="D24" s="6">
        <f>SUM(D13:D22)</f>
        <v/>
      </c>
    </row>
    <row r="25">
      <c r="A25" s="12" t="inlineStr">
        <is>
          <t>Day 3 - Wed, July 1</t>
        </is>
      </c>
      <c r="B25" s="13" t="n"/>
      <c r="C25" s="13" t="n"/>
      <c r="D25" s="13" t="n"/>
    </row>
    <row r="26">
      <c r="A26" s="4" t="inlineStr">
        <is>
          <t>Morning Block</t>
        </is>
      </c>
      <c r="B26" s="16" t="inlineStr">
        <is>
          <t>Icebreaker &amp; Daily Orientation</t>
        </is>
      </c>
      <c r="C26" s="4" t="n">
        <v>30</v>
      </c>
      <c r="D26" s="4">
        <f>C26/60</f>
        <v/>
      </c>
    </row>
    <row r="27">
      <c r="A27" s="16" t="n"/>
      <c r="B27" s="16" t="inlineStr">
        <is>
          <t>Social Innovation Challenge Intro &amp; Prep</t>
        </is>
      </c>
      <c r="C27" s="4" t="n">
        <v>30</v>
      </c>
      <c r="D27" s="4">
        <f>C27/60</f>
        <v/>
      </c>
    </row>
    <row r="28">
      <c r="B28" s="4" t="inlineStr">
        <is>
          <t>Social Innovation Challenge</t>
        </is>
      </c>
      <c r="C28" s="4" t="n">
        <v>60</v>
      </c>
      <c r="D28" s="4">
        <f>C28/60</f>
        <v/>
      </c>
    </row>
    <row r="29">
      <c r="A29" s="15" t="inlineStr">
        <is>
          <t>Lunch</t>
        </is>
      </c>
      <c r="B29" s="15" t="n"/>
      <c r="C29" s="15" t="n"/>
      <c r="D29" s="15" t="n">
        <v>0.5</v>
      </c>
    </row>
    <row r="30">
      <c r="A30" s="4" t="inlineStr">
        <is>
          <t>Afternoon Block</t>
        </is>
      </c>
      <c r="B30" s="18" t="inlineStr">
        <is>
          <t>AI Tools for Pitch &amp; Prototype Creation</t>
        </is>
      </c>
      <c r="C30" s="19" t="n">
        <v>80</v>
      </c>
      <c r="D30" s="19">
        <f>C30/60</f>
        <v/>
      </c>
      <c r="F30" s="0" t="inlineStr">
        <is>
          <t>AI as Co-Creator: Rapid Ideation. Skills: Collaborative Design (C), Multimodal Engineering (T), Creative Ownership (S). Tools: Ideogram 2.0, ChatGPT Canvas.</t>
        </is>
      </c>
      <c r="H30" s="0" t="n"/>
    </row>
    <row r="31">
      <c r="A31" s="4" t="n"/>
      <c r="B31" s="16" t="inlineStr">
        <is>
          <t>Pitch Prep</t>
        </is>
      </c>
      <c r="C31" s="4" t="n">
        <v>40</v>
      </c>
      <c r="D31" s="4">
        <f>C31/60</f>
        <v/>
      </c>
    </row>
    <row r="32">
      <c r="B32" s="16" t="inlineStr">
        <is>
          <t>Starup Team Pitches</t>
        </is>
      </c>
      <c r="C32" s="4" t="n">
        <v>60</v>
      </c>
      <c r="D32" s="4">
        <f>C32/60</f>
        <v/>
      </c>
    </row>
    <row r="33">
      <c r="A33" s="16" t="n"/>
      <c r="B33" s="4" t="inlineStr">
        <is>
          <t>Judging &amp; Awarding</t>
        </is>
      </c>
      <c r="C33" s="4" t="n">
        <v>30</v>
      </c>
      <c r="D33" s="4">
        <f>C33/60</f>
        <v/>
      </c>
    </row>
    <row r="34">
      <c r="A34" s="16" t="n"/>
      <c r="B34" s="4" t="inlineStr">
        <is>
          <t>Close Out</t>
        </is>
      </c>
      <c r="C34" s="4" t="n">
        <v>30</v>
      </c>
      <c r="D34" s="4">
        <f>C34/60</f>
        <v/>
      </c>
    </row>
    <row r="35">
      <c r="A35" s="16" t="n"/>
      <c r="D35" s="6">
        <f>SUM(D26:D33)</f>
        <v/>
      </c>
    </row>
    <row r="36">
      <c r="A36" s="12" t="inlineStr">
        <is>
          <t>Day 4 - Thurs, July 2</t>
        </is>
      </c>
      <c r="B36" s="13" t="n"/>
      <c r="C36" s="13" t="n"/>
      <c r="D36" s="13" t="n"/>
    </row>
    <row r="37">
      <c r="A37" s="4" t="inlineStr">
        <is>
          <t>Morning Block</t>
        </is>
      </c>
      <c r="B37" s="16" t="inlineStr">
        <is>
          <t>Icebreaker &amp; Daily Orientation</t>
        </is>
      </c>
      <c r="C37" s="4" t="n">
        <v>30</v>
      </c>
      <c r="D37" s="4">
        <f>C37/60</f>
        <v/>
      </c>
    </row>
    <row r="38">
      <c r="B38" s="16" t="inlineStr">
        <is>
          <t>Problem Analysis Introduction</t>
        </is>
      </c>
      <c r="C38" s="4" t="n">
        <v>45</v>
      </c>
      <c r="D38" s="4">
        <f>C38/60</f>
        <v/>
      </c>
    </row>
    <row r="39">
      <c r="B39" s="16" t="inlineStr">
        <is>
          <t>Problem Statement &amp; Vision Board</t>
        </is>
      </c>
      <c r="C39" s="4" t="n">
        <v>45</v>
      </c>
      <c r="D39" s="4">
        <f>C39/60</f>
        <v/>
      </c>
    </row>
    <row r="40">
      <c r="A40" s="15" t="inlineStr">
        <is>
          <t>Lunch</t>
        </is>
      </c>
      <c r="B40" s="15" t="n"/>
      <c r="C40" s="15" t="n"/>
      <c r="D40" s="15" t="n">
        <v>0.5</v>
      </c>
    </row>
    <row r="41">
      <c r="A41" s="4" t="inlineStr">
        <is>
          <t>Afternoon Block</t>
        </is>
      </c>
      <c r="B41" s="4" t="inlineStr">
        <is>
          <t>Stakeholder &amp; Systems Analysis</t>
        </is>
      </c>
      <c r="C41" s="4" t="n">
        <v>60</v>
      </c>
      <c r="D41" s="4">
        <f>C41/60</f>
        <v/>
      </c>
    </row>
    <row r="42">
      <c r="A42" s="4" t="n"/>
      <c r="B42" s="4" t="inlineStr">
        <is>
          <t>Guest Speaker Block</t>
        </is>
      </c>
      <c r="C42" s="4" t="n">
        <v>60</v>
      </c>
      <c r="D42" s="4">
        <f>C42/60</f>
        <v/>
      </c>
    </row>
    <row r="43">
      <c r="A43" s="4" t="n"/>
      <c r="B43" s="19" t="inlineStr">
        <is>
          <t>AI Learning Block</t>
        </is>
      </c>
      <c r="C43" s="19" t="n">
        <v>60</v>
      </c>
      <c r="D43" s="19">
        <f>C43/60</f>
        <v/>
      </c>
      <c r="F43" s="0" t="inlineStr">
        <is>
          <t>Systems Thinking: Mapping Complexity. Skills: Root Cause Analysis (C), Long-Context Management (T), Stakeholder Inclusivity (S). Tools: Napkin AI, Miro Assist.</t>
        </is>
      </c>
      <c r="H43" s="0" t="n"/>
    </row>
    <row r="44">
      <c r="A44" s="4" t="n"/>
      <c r="B44" s="4" t="inlineStr">
        <is>
          <t>Close Out</t>
        </is>
      </c>
      <c r="C44" s="4" t="n">
        <v>30</v>
      </c>
      <c r="D44" s="4">
        <f>C44/60</f>
        <v/>
      </c>
    </row>
    <row r="45">
      <c r="A45" s="4" t="n"/>
      <c r="B45" s="4" t="n"/>
      <c r="C45" s="4" t="n"/>
      <c r="D45" s="6">
        <f>SUM(D37:D44)</f>
        <v/>
      </c>
    </row>
    <row r="46">
      <c r="A46" s="20" t="inlineStr">
        <is>
          <t>Friday, July 3 - 4th of July Holiday</t>
        </is>
      </c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3" t="n"/>
      <c r="B47" s="23" t="n"/>
      <c r="C47" s="23" t="n"/>
      <c r="D47" s="23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>
      <c r="A48" s="11" t="inlineStr">
        <is>
          <t>WEEK 2</t>
        </is>
      </c>
      <c r="B48" s="11" t="n"/>
      <c r="C48" s="11" t="n"/>
      <c r="D48" s="11" t="n"/>
    </row>
    <row r="49">
      <c r="A49" s="12" t="inlineStr">
        <is>
          <t>Day 1 - Mon, July 6</t>
        </is>
      </c>
      <c r="B49" s="13" t="n"/>
      <c r="C49" s="13" t="n"/>
      <c r="D49" s="13" t="n"/>
    </row>
    <row r="50">
      <c r="A50" s="4" t="n"/>
      <c r="B50" s="16" t="inlineStr">
        <is>
          <t>Icebreaker &amp; Daily Orientation</t>
        </is>
      </c>
      <c r="C50" s="4" t="n">
        <v>30</v>
      </c>
      <c r="D50" s="4">
        <f>C50/60</f>
        <v/>
      </c>
    </row>
    <row r="51">
      <c r="A51" s="4" t="inlineStr">
        <is>
          <t>Morning Block</t>
        </is>
      </c>
      <c r="B51" s="16" t="inlineStr">
        <is>
          <t>User Analysis</t>
        </is>
      </c>
      <c r="C51" s="4" t="n">
        <v>60</v>
      </c>
      <c r="D51" s="4">
        <f>C51/60</f>
        <v/>
      </c>
    </row>
    <row r="52">
      <c r="B52" s="16" t="inlineStr">
        <is>
          <t>Intro to Design Thinking</t>
        </is>
      </c>
      <c r="C52" s="4" t="n">
        <v>60</v>
      </c>
      <c r="D52" s="4">
        <f>C52/60</f>
        <v/>
      </c>
    </row>
    <row r="53">
      <c r="A53" s="15" t="inlineStr">
        <is>
          <t>Lunch</t>
        </is>
      </c>
      <c r="B53" s="15" t="n"/>
      <c r="C53" s="15" t="n"/>
      <c r="D53" s="15" t="n">
        <v>0.5</v>
      </c>
    </row>
    <row r="54">
      <c r="A54" s="4" t="inlineStr">
        <is>
          <t>Afternoon Block</t>
        </is>
      </c>
      <c r="B54" s="16" t="inlineStr">
        <is>
          <t xml:space="preserve">Empathy Intro &amp; Exercises </t>
        </is>
      </c>
      <c r="C54" s="4" t="n">
        <v>60</v>
      </c>
      <c r="D54" s="4">
        <f>C54/60</f>
        <v/>
      </c>
    </row>
    <row r="55">
      <c r="B55" s="19" t="inlineStr">
        <is>
          <t>AI Learning Block</t>
        </is>
      </c>
      <c r="C55" s="19" t="n">
        <v>90</v>
      </c>
      <c r="D55" s="19">
        <f>C55/60</f>
        <v/>
      </c>
      <c r="F55" s="0" t="inlineStr">
        <is>
          <t>Synthetic Personas: User Empathy. Skills: Perspective Taking (C), Role-play Prompting (T), Empathy Gap Awareness (S). Tools: Character.ai, Hume AI.</t>
        </is>
      </c>
      <c r="H55" s="0" t="n"/>
    </row>
    <row r="56">
      <c r="B56" s="4" t="inlineStr">
        <is>
          <t>Close Out</t>
        </is>
      </c>
      <c r="C56" s="4" t="n">
        <v>30</v>
      </c>
      <c r="D56" s="4">
        <f>C56/60</f>
        <v/>
      </c>
    </row>
    <row r="57">
      <c r="A57" s="16" t="n"/>
      <c r="B57" s="16" t="n"/>
      <c r="C57" s="16" t="n"/>
      <c r="D57" s="14">
        <f>SUM(D50:D56)</f>
        <v/>
      </c>
    </row>
    <row r="58">
      <c r="A58" s="12" t="inlineStr">
        <is>
          <t>Day 2 - Tues, July 7</t>
        </is>
      </c>
      <c r="B58" s="13" t="n"/>
      <c r="C58" s="13" t="n"/>
      <c r="D58" s="13" t="n"/>
    </row>
    <row r="59">
      <c r="A59" s="4" t="n"/>
      <c r="B59" s="16" t="inlineStr">
        <is>
          <t>Icebreaker &amp; Daily Orientation</t>
        </is>
      </c>
      <c r="C59" s="4" t="n">
        <v>30</v>
      </c>
      <c r="D59" s="4">
        <f>C59/60</f>
        <v/>
      </c>
    </row>
    <row r="60">
      <c r="A60" s="4" t="inlineStr">
        <is>
          <t>Afternoon Block</t>
        </is>
      </c>
      <c r="B60" s="4" t="inlineStr">
        <is>
          <t>Customer Discovery Intro</t>
        </is>
      </c>
      <c r="C60" s="4" t="n">
        <v>60</v>
      </c>
      <c r="D60" s="4">
        <f>C60/60</f>
        <v/>
      </c>
    </row>
    <row r="61">
      <c r="A61" s="4" t="inlineStr">
        <is>
          <t>Morning Block</t>
        </is>
      </c>
      <c r="B61" s="4" t="inlineStr">
        <is>
          <t>Customer Question Drafting</t>
        </is>
      </c>
      <c r="C61" s="4" t="n">
        <v>30</v>
      </c>
      <c r="D61" s="4">
        <f>C61/60</f>
        <v/>
      </c>
    </row>
    <row r="62">
      <c r="A62" s="15" t="inlineStr">
        <is>
          <t>Lunch</t>
        </is>
      </c>
      <c r="B62" s="15" t="n"/>
      <c r="C62" s="15" t="n"/>
      <c r="D62" s="15" t="n">
        <v>0.5</v>
      </c>
    </row>
    <row r="63">
      <c r="B63" s="16" t="inlineStr">
        <is>
          <t>Project Management Skills</t>
        </is>
      </c>
      <c r="C63" s="4" t="n">
        <v>30</v>
      </c>
      <c r="D63" s="4">
        <f>C63/60</f>
        <v/>
      </c>
    </row>
    <row r="64">
      <c r="A64" s="16" t="n"/>
      <c r="B64" s="16" t="inlineStr">
        <is>
          <t>Fieldwork Prep / Outreach</t>
        </is>
      </c>
      <c r="C64" s="4" t="n">
        <v>60</v>
      </c>
      <c r="D64" s="4">
        <f>C64/60</f>
        <v/>
      </c>
    </row>
    <row r="65">
      <c r="B65" s="19" t="inlineStr">
        <is>
          <t>AI Learning Block</t>
        </is>
      </c>
      <c r="C65" s="19" t="n">
        <v>90</v>
      </c>
      <c r="D65" s="19">
        <f>C65/60</f>
        <v/>
      </c>
      <c r="F65" s="0" t="inlineStr">
        <is>
          <t>Automated Insights: Field Research. Skills: Qualitative Synthesis (C), Autonomous Web Agents (T), Privacy &amp; Consent (S). Tools: Browse.ai, Fireflies.ai.</t>
        </is>
      </c>
      <c r="H65" s="0" t="n"/>
    </row>
    <row r="66">
      <c r="B66" s="4" t="inlineStr">
        <is>
          <t>Close Out</t>
        </is>
      </c>
      <c r="C66" s="4" t="n">
        <v>30</v>
      </c>
      <c r="D66" s="4">
        <f>C66/60</f>
        <v/>
      </c>
    </row>
    <row r="67">
      <c r="A67" s="16" t="n"/>
      <c r="D67" s="6">
        <f>SUM(D59:D66)</f>
        <v/>
      </c>
    </row>
    <row r="68">
      <c r="A68" s="12" t="inlineStr">
        <is>
          <t>Day 3 - Wed, July 8</t>
        </is>
      </c>
      <c r="B68" s="13" t="n"/>
      <c r="C68" s="13" t="n"/>
      <c r="D68" s="13" t="n"/>
    </row>
    <row r="69">
      <c r="A69" s="4" t="n"/>
      <c r="B69" s="16" t="inlineStr">
        <is>
          <t>Icebreaker &amp; Daily Orientation</t>
        </is>
      </c>
      <c r="C69" s="4" t="n">
        <v>30</v>
      </c>
      <c r="D69" s="4">
        <f>C69/60</f>
        <v/>
      </c>
    </row>
    <row r="70">
      <c r="A70" s="4" t="inlineStr">
        <is>
          <t>Morning Block</t>
        </is>
      </c>
      <c r="B70" s="16" t="inlineStr">
        <is>
          <t>Design Challenge - DT Refresher</t>
        </is>
      </c>
      <c r="C70" s="4" t="n">
        <v>60</v>
      </c>
      <c r="D70" s="4">
        <f>C70/60</f>
        <v/>
      </c>
    </row>
    <row r="71">
      <c r="B71" s="16" t="inlineStr">
        <is>
          <t>Define - Creating How Might We's</t>
        </is>
      </c>
      <c r="C71" s="4" t="n">
        <v>30</v>
      </c>
      <c r="D71" s="4">
        <f>C71/60</f>
        <v/>
      </c>
    </row>
    <row r="72">
      <c r="A72" s="15" t="inlineStr">
        <is>
          <t>Lunch</t>
        </is>
      </c>
      <c r="B72" s="15" t="n"/>
      <c r="C72" s="15" t="n"/>
      <c r="D72" s="15" t="n">
        <v>0.5</v>
      </c>
    </row>
    <row r="73">
      <c r="A73" s="4" t="n"/>
      <c r="B73" s="16" t="inlineStr">
        <is>
          <t>Define - Creating How Might We's</t>
        </is>
      </c>
      <c r="C73" s="4" t="n">
        <v>30</v>
      </c>
      <c r="D73" s="4">
        <f>C73/60</f>
        <v/>
      </c>
      <c r="H73" s="16" t="n"/>
    </row>
    <row r="74">
      <c r="A74" s="4" t="inlineStr">
        <is>
          <t>Afternoon Block</t>
        </is>
      </c>
      <c r="B74" s="4" t="inlineStr">
        <is>
          <t>Interview / Community Engagement Work Time</t>
        </is>
      </c>
      <c r="C74" s="4" t="n">
        <v>60</v>
      </c>
      <c r="D74" s="6" t="n">
        <v>1</v>
      </c>
      <c r="H74" s="16" t="n"/>
    </row>
    <row r="75">
      <c r="A75" s="4" t="n"/>
      <c r="B75" s="19" t="inlineStr">
        <is>
          <t>AI Learning Block</t>
        </is>
      </c>
      <c r="C75" s="19" t="n">
        <v>90</v>
      </c>
      <c r="D75" s="19">
        <f>C75/60</f>
        <v/>
      </c>
      <c r="F75" s="0" t="inlineStr">
        <is>
          <t>Pattern Recognition: Data Synthesis. Skills: Information Architecture (C), RAG-Based Retrieval (T), Collective Intelligence (S). Tools: NotebookLM, Heptabase.</t>
        </is>
      </c>
      <c r="H75" s="16" t="n"/>
    </row>
    <row r="76">
      <c r="A76" s="4" t="n"/>
      <c r="B76" s="4" t="inlineStr">
        <is>
          <t>Close Out</t>
        </is>
      </c>
      <c r="C76" s="4" t="n">
        <v>30</v>
      </c>
      <c r="D76" s="4">
        <f>C76/60</f>
        <v/>
      </c>
      <c r="H76" s="16" t="n"/>
    </row>
    <row r="77">
      <c r="A77" s="4" t="n"/>
      <c r="D77" s="6">
        <f>SUM(D68:D76)</f>
        <v/>
      </c>
      <c r="H77" s="16" t="n"/>
    </row>
    <row r="78">
      <c r="A78" s="12" t="inlineStr">
        <is>
          <t>Day 4 - Thurs, July 9</t>
        </is>
      </c>
      <c r="B78" s="13" t="n"/>
      <c r="C78" s="13" t="n"/>
      <c r="D78" s="13" t="n"/>
    </row>
    <row r="79">
      <c r="A79" s="16" t="n"/>
      <c r="B79" s="16" t="inlineStr">
        <is>
          <t>Icebreaker &amp; Daily Orientation</t>
        </is>
      </c>
      <c r="C79" s="4" t="n">
        <v>30</v>
      </c>
      <c r="D79" s="4">
        <f>C79/60</f>
        <v/>
      </c>
      <c r="H79" s="16" t="n"/>
      <c r="I79" s="16" t="n"/>
    </row>
    <row r="80">
      <c r="A80" s="16" t="n"/>
      <c r="B80" s="16" t="inlineStr">
        <is>
          <t>Refining your HMW/Ideation Prep</t>
        </is>
      </c>
      <c r="C80" s="4" t="n">
        <v>60</v>
      </c>
      <c r="D80" s="4">
        <f>C80/60</f>
        <v/>
      </c>
      <c r="H80" s="16" t="n"/>
      <c r="I80" s="16" t="n"/>
    </row>
    <row r="81">
      <c r="B81" s="4" t="inlineStr">
        <is>
          <t>Ideation Brainstorm</t>
        </is>
      </c>
      <c r="C81" s="4" t="n">
        <v>60</v>
      </c>
      <c r="D81" s="4" t="n">
        <v>1</v>
      </c>
    </row>
    <row r="82">
      <c r="A82" s="15" t="inlineStr">
        <is>
          <t>Lunch</t>
        </is>
      </c>
      <c r="B82" s="15" t="n"/>
      <c r="C82" s="15" t="n"/>
      <c r="D82" s="15" t="n">
        <v>0.5</v>
      </c>
      <c r="H82" s="16" t="n"/>
      <c r="I82" s="16" t="n"/>
    </row>
    <row r="83">
      <c r="A83" s="4" t="inlineStr">
        <is>
          <t>Afternoon Block</t>
        </is>
      </c>
      <c r="B83" s="16" t="inlineStr">
        <is>
          <t>Mentorship or Site Visit</t>
        </is>
      </c>
      <c r="C83" s="4" t="n">
        <v>180</v>
      </c>
      <c r="D83" s="4" t="n">
        <v>3</v>
      </c>
    </row>
    <row r="84">
      <c r="A84" s="4" t="n"/>
      <c r="B84" s="16" t="n"/>
      <c r="C84" s="4" t="n"/>
      <c r="D84" s="6">
        <f>SUM(D79:D83)</f>
        <v/>
      </c>
    </row>
    <row r="85">
      <c r="A85" s="12" t="inlineStr">
        <is>
          <t>Day 5 - Fri, July 10</t>
        </is>
      </c>
      <c r="B85" s="13" t="n"/>
      <c r="C85" s="13" t="n"/>
      <c r="D85" s="13" t="n"/>
    </row>
    <row r="86">
      <c r="A86" s="4" t="n"/>
      <c r="B86" s="16" t="inlineStr">
        <is>
          <t>Icebreaker &amp; Daily Orientation</t>
        </is>
      </c>
      <c r="C86" s="4" t="n">
        <v>30</v>
      </c>
      <c r="D86" s="4">
        <f>C86/60</f>
        <v/>
      </c>
      <c r="H86" s="16" t="n"/>
      <c r="I86" s="16" t="n"/>
    </row>
    <row r="87">
      <c r="A87" s="4" t="inlineStr">
        <is>
          <t>Morning Block</t>
        </is>
      </c>
      <c r="B87" s="16" t="inlineStr">
        <is>
          <t>Guest Speaker &amp; Activities Block</t>
        </is>
      </c>
      <c r="C87" s="4" t="n">
        <v>120</v>
      </c>
      <c r="D87" s="4">
        <f>C87/60</f>
        <v/>
      </c>
      <c r="H87" s="16" t="n"/>
      <c r="I87" s="16" t="n"/>
    </row>
    <row r="88">
      <c r="A88" s="15" t="inlineStr">
        <is>
          <t>Lunch</t>
        </is>
      </c>
      <c r="B88" s="15" t="n"/>
      <c r="C88" s="15" t="n"/>
      <c r="D88" s="15" t="n">
        <v>0.5</v>
      </c>
      <c r="I88" s="16" t="n"/>
    </row>
    <row r="89">
      <c r="B89" s="16" t="inlineStr">
        <is>
          <t>Lightning Demo</t>
        </is>
      </c>
      <c r="C89" s="4" t="n">
        <v>60</v>
      </c>
      <c r="D89" s="6">
        <f>C89/60</f>
        <v/>
      </c>
    </row>
    <row r="90">
      <c r="A90" s="16" t="n"/>
      <c r="B90" s="19" t="inlineStr">
        <is>
          <t>AI Learning Block</t>
        </is>
      </c>
      <c r="C90" s="19" t="n">
        <v>90</v>
      </c>
      <c r="D90" s="19">
        <f>C90/60</f>
        <v/>
      </c>
      <c r="F90" s="0" t="inlineStr">
        <is>
          <t>The No-Code Forge: UI Prototyping. Skills: Modular Design (C), Component Prompting (T), Digital Accessibility (S). Tools: v0.dev, Replit Agent.</t>
        </is>
      </c>
      <c r="H90" s="0" t="n"/>
    </row>
    <row r="91">
      <c r="A91" s="16" t="n"/>
      <c r="B91" s="4" t="inlineStr">
        <is>
          <t>Close Out</t>
        </is>
      </c>
      <c r="C91" s="4" t="n">
        <v>30</v>
      </c>
      <c r="D91" s="4">
        <f>C91/60</f>
        <v/>
      </c>
    </row>
    <row r="92">
      <c r="A92" s="16" t="n"/>
      <c r="D92" s="6">
        <f>SUM(D86:D91)</f>
        <v/>
      </c>
    </row>
    <row r="93">
      <c r="A93" s="23" t="n"/>
      <c r="B93" s="23" t="n"/>
      <c r="C93" s="23" t="n"/>
      <c r="D93" s="23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>
      <c r="A94" s="11" t="inlineStr">
        <is>
          <t>WEEK 3</t>
        </is>
      </c>
      <c r="B94" s="11" t="n"/>
      <c r="C94" s="11" t="n"/>
      <c r="D94" s="11" t="n"/>
    </row>
    <row r="95">
      <c r="A95" s="12" t="inlineStr">
        <is>
          <t>Day 1 - Mon, July 13</t>
        </is>
      </c>
      <c r="B95" s="13" t="n"/>
      <c r="C95" s="13" t="n"/>
      <c r="D95" s="13" t="n"/>
    </row>
    <row r="96">
      <c r="A96" s="4" t="inlineStr">
        <is>
          <t>Morning Block</t>
        </is>
      </c>
      <c r="B96" s="16" t="inlineStr">
        <is>
          <t>Icebreaker &amp; Daily Orientation</t>
        </is>
      </c>
      <c r="C96" s="4" t="n">
        <v>30</v>
      </c>
      <c r="D96" s="4">
        <f>C96/60</f>
        <v/>
      </c>
    </row>
    <row r="97">
      <c r="A97" s="4" t="inlineStr">
        <is>
          <t>Morning Block</t>
        </is>
      </c>
      <c r="B97" s="16" t="inlineStr">
        <is>
          <t>Analysis + Round 2 Ideation + Community Ideas Sourcing</t>
        </is>
      </c>
      <c r="C97" s="4" t="n">
        <v>60</v>
      </c>
      <c r="D97" s="4">
        <f>C97/60</f>
        <v/>
      </c>
    </row>
    <row r="98">
      <c r="A98" s="6" t="n"/>
      <c r="B98" s="16" t="inlineStr">
        <is>
          <t>Competitive Analysis</t>
        </is>
      </c>
      <c r="C98" s="4" t="n">
        <v>60</v>
      </c>
      <c r="D98" s="4">
        <f>C98/60</f>
        <v/>
      </c>
    </row>
    <row r="99">
      <c r="A99" s="15" t="inlineStr">
        <is>
          <t>Lunch</t>
        </is>
      </c>
      <c r="B99" s="15" t="n"/>
      <c r="C99" s="15" t="n"/>
      <c r="D99" s="15" t="n">
        <v>0.5</v>
      </c>
    </row>
    <row r="100">
      <c r="A100" s="16" t="n"/>
      <c r="B100" s="4" t="inlineStr">
        <is>
          <t>Solution Definition - First Sketch</t>
        </is>
      </c>
      <c r="C100" s="4" t="n">
        <v>60</v>
      </c>
      <c r="D100" s="4">
        <f>C100/60</f>
        <v/>
      </c>
    </row>
    <row r="101">
      <c r="A101" s="16" t="n"/>
      <c r="B101" s="19" t="inlineStr">
        <is>
          <t>AI Learning Block</t>
        </is>
      </c>
      <c r="C101" s="19" t="n">
        <v>90</v>
      </c>
      <c r="D101" s="19">
        <f>C101/60</f>
        <v/>
      </c>
      <c r="F101" s="0" t="inlineStr">
        <is>
          <t>Strategic Intel: Comp Analysis. Skills: SWOT 2.0 (C), Multi-agent Research (T), Fair Competition Ethics (S). Tools: Perplexity (Research Mode), Elicit.</t>
        </is>
      </c>
      <c r="H101" s="0" t="n"/>
    </row>
    <row r="102">
      <c r="A102" s="16" t="n"/>
      <c r="B102" s="4" t="inlineStr">
        <is>
          <t>Close Out</t>
        </is>
      </c>
      <c r="C102" s="4" t="n">
        <v>30</v>
      </c>
      <c r="D102" s="4">
        <f>C102/60</f>
        <v/>
      </c>
    </row>
    <row r="103">
      <c r="A103" s="16" t="n"/>
      <c r="D103" s="6">
        <f>SUM(D96:D102)</f>
        <v/>
      </c>
    </row>
    <row r="104">
      <c r="A104" s="12" t="inlineStr">
        <is>
          <t>Day 2 - Tues, July 14</t>
        </is>
      </c>
      <c r="B104" s="13" t="n"/>
      <c r="C104" s="13" t="n"/>
      <c r="D104" s="13" t="n"/>
    </row>
    <row r="105">
      <c r="A105" s="4" t="n"/>
      <c r="B105" s="16" t="inlineStr">
        <is>
          <t>Icebreaker &amp; Daily Orientation</t>
        </is>
      </c>
      <c r="C105" s="4" t="n">
        <v>30</v>
      </c>
      <c r="D105" s="4">
        <f>C105/60</f>
        <v/>
      </c>
    </row>
    <row r="106">
      <c r="A106" s="4" t="inlineStr">
        <is>
          <t>Morning Block</t>
        </is>
      </c>
      <c r="B106" s="16" t="inlineStr">
        <is>
          <t xml:space="preserve">Team Solutionizing </t>
        </is>
      </c>
      <c r="C106" s="4" t="n">
        <v>60</v>
      </c>
      <c r="D106" s="4">
        <f>C106/60</f>
        <v/>
      </c>
    </row>
    <row r="107">
      <c r="B107" s="16" t="inlineStr">
        <is>
          <t>Final Team Solution Definition</t>
        </is>
      </c>
      <c r="C107" s="4" t="n">
        <v>60</v>
      </c>
      <c r="D107" s="4">
        <f>C107/60</f>
        <v/>
      </c>
    </row>
    <row r="108">
      <c r="A108" s="15" t="inlineStr">
        <is>
          <t>Lunch</t>
        </is>
      </c>
      <c r="B108" s="15" t="n"/>
      <c r="C108" s="15" t="n"/>
      <c r="D108" s="15" t="n">
        <v>0.5</v>
      </c>
    </row>
    <row r="109">
      <c r="B109" s="16" t="inlineStr">
        <is>
          <t>Reflection &amp; Mid Course Check In</t>
        </is>
      </c>
      <c r="C109" s="4" t="n">
        <v>30</v>
      </c>
      <c r="D109" s="4">
        <f>C109/60</f>
        <v/>
      </c>
    </row>
    <row r="110">
      <c r="B110" s="16" t="inlineStr">
        <is>
          <t>Complete Midway Survey</t>
        </is>
      </c>
      <c r="C110" s="4" t="n">
        <v>30</v>
      </c>
      <c r="D110" s="4">
        <f>C110/60</f>
        <v/>
      </c>
    </row>
    <row r="111">
      <c r="B111" s="19" t="inlineStr">
        <is>
          <t>AI Learning Block</t>
        </is>
      </c>
      <c r="C111" s="19" t="n">
        <v>90</v>
      </c>
      <c r="D111" s="19">
        <f>C111/60</f>
        <v/>
      </c>
      <c r="F111" s="0" t="inlineStr">
        <is>
          <t>AI Governance: Bias Auditing. Skills: Meta-cognition (C), Model Comparison (T), Intellectual Integrity (S). Tools: Anthropic (Constitutional AI), Weights &amp; Biases.</t>
        </is>
      </c>
      <c r="H111" s="0" t="n"/>
    </row>
    <row r="112">
      <c r="B112" s="4" t="inlineStr">
        <is>
          <t>Close Out</t>
        </is>
      </c>
      <c r="C112" s="4" t="n">
        <v>30</v>
      </c>
      <c r="D112" s="4">
        <f>C112/60</f>
        <v/>
      </c>
    </row>
    <row r="113">
      <c r="D113" s="6">
        <f>SUM(D105:D112)</f>
        <v/>
      </c>
    </row>
    <row r="114">
      <c r="A114" s="12" t="inlineStr">
        <is>
          <t>Day 3 - Wed, July 15</t>
        </is>
      </c>
      <c r="B114" s="13" t="n"/>
      <c r="C114" s="13" t="n"/>
      <c r="D114" s="13" t="n"/>
    </row>
    <row r="115">
      <c r="A115" s="4" t="n"/>
      <c r="B115" s="16" t="inlineStr">
        <is>
          <t>Icebreaker &amp; Daily Orientation</t>
        </is>
      </c>
      <c r="C115" s="4" t="n">
        <v>30</v>
      </c>
      <c r="D115" s="4">
        <f>C115/60</f>
        <v/>
      </c>
    </row>
    <row r="116">
      <c r="A116" s="4" t="inlineStr">
        <is>
          <t>Morning Block</t>
        </is>
      </c>
      <c r="B116" s="16" t="inlineStr">
        <is>
          <t>Prototyping Introduction &amp; Challenge</t>
        </is>
      </c>
      <c r="C116" s="4" t="n">
        <v>60</v>
      </c>
      <c r="D116" s="4">
        <f>C116/60</f>
        <v/>
      </c>
    </row>
    <row r="117">
      <c r="A117" s="16" t="n"/>
      <c r="B117" s="16" t="inlineStr">
        <is>
          <t>Traction &amp; Testing Introduction</t>
        </is>
      </c>
      <c r="C117" s="4" t="n">
        <v>30</v>
      </c>
      <c r="D117" s="4">
        <f>C117/60</f>
        <v/>
      </c>
    </row>
    <row r="118">
      <c r="A118" s="16" t="n"/>
      <c r="B118" s="4" t="inlineStr">
        <is>
          <t>Build &amp; Outreach Worktime</t>
        </is>
      </c>
      <c r="C118" s="4" t="n">
        <v>30</v>
      </c>
      <c r="D118" s="4">
        <f>C118/60</f>
        <v/>
      </c>
    </row>
    <row r="119">
      <c r="A119" s="15" t="inlineStr">
        <is>
          <t>Lunch</t>
        </is>
      </c>
      <c r="B119" s="15" t="n"/>
      <c r="C119" s="15" t="n"/>
      <c r="D119" s="15" t="n">
        <v>0.5</v>
      </c>
    </row>
    <row r="120">
      <c r="B120" s="16" t="inlineStr">
        <is>
          <t>Business Modeling</t>
        </is>
      </c>
      <c r="C120" s="4" t="n">
        <v>60</v>
      </c>
      <c r="D120" s="6">
        <f>C120/60</f>
        <v/>
      </c>
    </row>
    <row r="121">
      <c r="B121" s="19" t="inlineStr">
        <is>
          <t>AI Learning Block</t>
        </is>
      </c>
      <c r="C121" s="19" t="n">
        <v>90</v>
      </c>
      <c r="D121" s="19">
        <f>C121/60</f>
        <v/>
      </c>
      <c r="F121" s="0" t="inlineStr">
        <is>
          <t>Biz Models: Unit Economics Agent. Skills: Scalability Modeling (C), Logic-Chain Formulae (T), Sustainable Value (S). Tools: Equals, Julius AI.</t>
        </is>
      </c>
      <c r="H121" s="0" t="n"/>
    </row>
    <row r="122">
      <c r="B122" s="4" t="inlineStr">
        <is>
          <t>Close Out</t>
        </is>
      </c>
      <c r="C122" s="4" t="n">
        <v>30</v>
      </c>
      <c r="D122" s="4">
        <f>C122/60</f>
        <v/>
      </c>
    </row>
    <row r="123">
      <c r="D123" s="6">
        <f>SUM(D115:D122)</f>
        <v/>
      </c>
    </row>
    <row r="124">
      <c r="A124" s="12" t="inlineStr">
        <is>
          <t>Day 4 - Thurs, July 16</t>
        </is>
      </c>
      <c r="B124" s="13" t="n"/>
      <c r="C124" s="13" t="n"/>
      <c r="D124" s="13" t="n"/>
    </row>
    <row r="125">
      <c r="A125" s="4" t="inlineStr">
        <is>
          <t>Morning Block</t>
        </is>
      </c>
      <c r="B125" s="16" t="inlineStr">
        <is>
          <t>Icebreaker &amp; Daily Orientation</t>
        </is>
      </c>
      <c r="C125" s="4" t="n">
        <v>30</v>
      </c>
      <c r="D125" s="4">
        <f>C125/60</f>
        <v/>
      </c>
    </row>
    <row r="126">
      <c r="B126" s="16" t="inlineStr">
        <is>
          <t xml:space="preserve">Business Model Assumptions &amp; Testing </t>
        </is>
      </c>
      <c r="C126" s="4" t="n">
        <v>60</v>
      </c>
      <c r="D126" s="4">
        <f>C126/60</f>
        <v/>
      </c>
    </row>
    <row r="127">
      <c r="A127" s="16" t="n"/>
      <c r="B127" s="16" t="inlineStr">
        <is>
          <t>Lean Startup &amp; Testing Introduction</t>
        </is>
      </c>
      <c r="C127" s="16" t="n">
        <v>60</v>
      </c>
      <c r="D127" s="16" t="n">
        <v>1</v>
      </c>
    </row>
    <row r="128">
      <c r="A128" s="15" t="inlineStr">
        <is>
          <t>Lunch</t>
        </is>
      </c>
      <c r="B128" s="15" t="n"/>
      <c r="C128" s="15" t="n"/>
      <c r="D128" s="15" t="n">
        <v>0.5</v>
      </c>
    </row>
    <row r="129">
      <c r="A129" s="4" t="inlineStr">
        <is>
          <t>Afternoon Block</t>
        </is>
      </c>
      <c r="B129" s="16" t="inlineStr">
        <is>
          <t>Mentorship or Site Visit</t>
        </is>
      </c>
      <c r="C129" s="4" t="n">
        <v>180</v>
      </c>
      <c r="D129" s="4">
        <f>C129/60</f>
        <v/>
      </c>
    </row>
    <row r="130">
      <c r="D130" s="6">
        <f>SUM(D125:D129)</f>
        <v/>
      </c>
    </row>
    <row r="131">
      <c r="A131" s="12" t="inlineStr">
        <is>
          <t>Day 5 - Fri, July 17</t>
        </is>
      </c>
      <c r="B131" s="13" t="n"/>
      <c r="C131" s="13" t="n"/>
      <c r="D131" s="13" t="n"/>
    </row>
    <row r="132">
      <c r="A132" s="4" t="inlineStr">
        <is>
          <t>Morning Block</t>
        </is>
      </c>
      <c r="B132" s="16" t="inlineStr">
        <is>
          <t>Icebreaker &amp; Daily Orientation</t>
        </is>
      </c>
      <c r="C132" s="4" t="n">
        <v>30</v>
      </c>
      <c r="D132" s="4">
        <f>C132/60</f>
        <v/>
      </c>
    </row>
    <row r="133">
      <c r="B133" s="16" t="inlineStr">
        <is>
          <t>Guest Speaker &amp; Activities Block</t>
        </is>
      </c>
      <c r="C133" s="4" t="n">
        <v>120</v>
      </c>
      <c r="D133" s="4">
        <f>C133/60</f>
        <v/>
      </c>
    </row>
    <row r="134">
      <c r="A134" s="15" t="inlineStr">
        <is>
          <t>Lunch</t>
        </is>
      </c>
      <c r="B134" s="15" t="n"/>
      <c r="C134" s="15" t="n"/>
      <c r="D134" s="15" t="n">
        <v>0.5</v>
      </c>
    </row>
    <row r="135">
      <c r="B135" s="16" t="inlineStr">
        <is>
          <t>MVP Creation &amp; Work Time</t>
        </is>
      </c>
      <c r="C135" s="4" t="n">
        <v>45</v>
      </c>
      <c r="D135" s="4">
        <f>C135/60</f>
        <v/>
      </c>
    </row>
    <row r="136">
      <c r="B136" s="16" t="inlineStr">
        <is>
          <t>Make a Strategy for Weekend Outreach</t>
        </is>
      </c>
      <c r="C136" s="4" t="n">
        <v>15</v>
      </c>
      <c r="D136" s="4">
        <f>C136/60</f>
        <v/>
      </c>
    </row>
    <row r="137">
      <c r="B137" s="19" t="inlineStr">
        <is>
          <t>AI Learning Block</t>
        </is>
      </c>
      <c r="C137" s="19" t="n">
        <v>90</v>
      </c>
      <c r="D137" s="19">
        <f>C137/60</f>
        <v/>
      </c>
      <c r="F137" s="0" t="inlineStr">
        <is>
          <t>MVP Validation: Traction Hacking. Skills: Lean Methodology (C), Chatbot Orchestration (T), User Trust Building (S). Tools: Typeform AI, Intercom Fin.</t>
        </is>
      </c>
      <c r="H137" s="0" t="n"/>
    </row>
    <row r="138">
      <c r="B138" s="4" t="inlineStr">
        <is>
          <t>Close Out</t>
        </is>
      </c>
      <c r="C138" s="4" t="n">
        <v>30</v>
      </c>
      <c r="D138" s="4">
        <f>C138/60</f>
        <v/>
      </c>
    </row>
    <row r="139">
      <c r="B139" s="16" t="n"/>
      <c r="C139" s="4" t="n"/>
      <c r="D139" s="6">
        <f>SUM(D132:D138)</f>
        <v/>
      </c>
    </row>
    <row r="140">
      <c r="A140" s="23" t="n"/>
      <c r="B140" s="23" t="n"/>
      <c r="C140" s="23" t="n"/>
      <c r="D140" s="23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>
      <c r="A141" s="11" t="inlineStr">
        <is>
          <t>WEEK 4</t>
        </is>
      </c>
      <c r="B141" s="11" t="n"/>
      <c r="C141" s="11" t="n"/>
      <c r="D141" s="11" t="n"/>
    </row>
    <row r="142">
      <c r="A142" s="12" t="inlineStr">
        <is>
          <t>Day 1 - Mon, July 20</t>
        </is>
      </c>
      <c r="B142" s="13" t="n"/>
      <c r="C142" s="13" t="n"/>
      <c r="D142" s="13" t="n"/>
    </row>
    <row r="143">
      <c r="A143" s="4" t="inlineStr">
        <is>
          <t>Morning Block</t>
        </is>
      </c>
      <c r="B143" s="16" t="inlineStr">
        <is>
          <t>Icebreaker &amp; Daily Orientation</t>
        </is>
      </c>
      <c r="C143" s="4" t="n">
        <v>30</v>
      </c>
      <c r="D143" s="4">
        <f>C143/60</f>
        <v/>
      </c>
    </row>
    <row r="144">
      <c r="B144" s="16" t="inlineStr">
        <is>
          <t>Project Management &amp; Leadership Skills</t>
        </is>
      </c>
      <c r="C144" s="4" t="n">
        <v>30</v>
      </c>
      <c r="D144" s="4">
        <f>C144/60</f>
        <v/>
      </c>
    </row>
    <row r="145">
      <c r="A145" s="16" t="n"/>
      <c r="B145" s="4" t="inlineStr">
        <is>
          <t>Market &amp; Industry Analysis</t>
        </is>
      </c>
      <c r="C145" s="4" t="n">
        <v>45</v>
      </c>
      <c r="D145" s="4">
        <f>C217/60</f>
        <v/>
      </c>
    </row>
    <row r="146">
      <c r="B146" s="4" t="inlineStr">
        <is>
          <t>Competitive Analysis</t>
        </is>
      </c>
      <c r="C146" s="4" t="n">
        <v>30</v>
      </c>
      <c r="D146" s="4">
        <f>C146/60</f>
        <v/>
      </c>
    </row>
    <row r="147">
      <c r="A147" s="15" t="inlineStr">
        <is>
          <t>Lunch</t>
        </is>
      </c>
      <c r="B147" s="15" t="n"/>
      <c r="C147" s="15" t="n"/>
      <c r="D147" s="15" t="n">
        <v>0.5</v>
      </c>
    </row>
    <row r="148">
      <c r="A148" s="4" t="inlineStr">
        <is>
          <t>Afternoon Block</t>
        </is>
      </c>
      <c r="B148" s="16" t="inlineStr">
        <is>
          <t>Feedback Interpretation &amp; Pivoting</t>
        </is>
      </c>
      <c r="C148" s="4" t="n">
        <v>30</v>
      </c>
      <c r="D148" s="4">
        <f>C148/60</f>
        <v/>
      </c>
    </row>
    <row r="149">
      <c r="B149" s="16" t="inlineStr">
        <is>
          <t>MVP Build &amp; Test Work Time</t>
        </is>
      </c>
      <c r="C149" s="4" t="n">
        <v>30</v>
      </c>
      <c r="D149" s="4">
        <f>C149/60</f>
        <v/>
      </c>
    </row>
    <row r="150">
      <c r="B150" s="19" t="inlineStr">
        <is>
          <t>AI Learning Block</t>
        </is>
      </c>
      <c r="C150" s="19" t="n">
        <v>90</v>
      </c>
      <c r="D150" s="19">
        <f>C150/60</f>
        <v/>
      </c>
      <c r="F150" s="0" t="inlineStr">
        <is>
          <t>Industry Forecasting: Market Analysis. Skills: Trend Extrapolation (C), Synthetic Data Simulation (T), Socio-Economic Impact (S). Tools: AlphaSense, Statista AI.</t>
        </is>
      </c>
      <c r="H150" s="0" t="n"/>
    </row>
    <row r="151">
      <c r="B151" s="4" t="inlineStr">
        <is>
          <t>Close Out</t>
        </is>
      </c>
      <c r="C151" s="4" t="n">
        <v>30</v>
      </c>
      <c r="D151" s="4">
        <f>C151/60</f>
        <v/>
      </c>
    </row>
    <row r="152">
      <c r="B152" s="16" t="n"/>
      <c r="C152" s="4" t="n"/>
      <c r="D152" s="6">
        <f>SUM(D143:D151)</f>
        <v/>
      </c>
    </row>
    <row r="153">
      <c r="A153" s="12" t="inlineStr">
        <is>
          <t>Day 2 - Tues, July 21</t>
        </is>
      </c>
      <c r="B153" s="13" t="n"/>
      <c r="C153" s="13" t="n"/>
      <c r="D153" s="13" t="n"/>
    </row>
    <row r="154">
      <c r="A154" s="4" t="n"/>
      <c r="B154" s="16" t="inlineStr">
        <is>
          <t>Icebreaker &amp; Daily Orientation</t>
        </is>
      </c>
      <c r="C154" s="4" t="n">
        <v>30</v>
      </c>
      <c r="D154" s="4">
        <f>C154/60</f>
        <v/>
      </c>
    </row>
    <row r="155">
      <c r="A155" s="4" t="inlineStr">
        <is>
          <t>Afternoon Block</t>
        </is>
      </c>
      <c r="B155" s="16" t="inlineStr">
        <is>
          <t>Costing your Startup</t>
        </is>
      </c>
      <c r="C155" s="4" t="n">
        <v>45</v>
      </c>
      <c r="D155" s="4">
        <f>C155/60</f>
        <v/>
      </c>
    </row>
    <row r="156">
      <c r="A156" s="16" t="n"/>
      <c r="B156" s="16" t="inlineStr">
        <is>
          <t>Revenue Models &amp; Pricing</t>
        </is>
      </c>
      <c r="C156" s="4" t="n">
        <v>45</v>
      </c>
      <c r="D156" s="4">
        <f>C156/60</f>
        <v/>
      </c>
    </row>
    <row r="157">
      <c r="A157" s="15" t="inlineStr">
        <is>
          <t>Lunch</t>
        </is>
      </c>
      <c r="B157" s="15" t="n"/>
      <c r="C157" s="15" t="n"/>
      <c r="D157" s="15" t="n">
        <v>0.5</v>
      </c>
    </row>
    <row r="158">
      <c r="A158" s="4" t="inlineStr">
        <is>
          <t>Afternoon Block</t>
        </is>
      </c>
      <c r="B158" s="16" t="inlineStr">
        <is>
          <t>Startup Budgeting</t>
        </is>
      </c>
      <c r="C158" s="4" t="n">
        <v>30</v>
      </c>
      <c r="D158" s="4">
        <f>C158/60</f>
        <v/>
      </c>
    </row>
    <row r="159">
      <c r="B159" s="16" t="inlineStr">
        <is>
          <t>Startup Accounting &amp; Financials</t>
        </is>
      </c>
      <c r="C159" s="4" t="n">
        <v>60</v>
      </c>
      <c r="D159" s="6">
        <f>C159/60</f>
        <v/>
      </c>
    </row>
    <row r="160">
      <c r="A160" s="4" t="n"/>
      <c r="B160" s="19" t="inlineStr">
        <is>
          <t>AI Learning Block</t>
        </is>
      </c>
      <c r="C160" s="19" t="n">
        <v>90</v>
      </c>
      <c r="D160" s="19">
        <f>C160/60</f>
        <v/>
      </c>
      <c r="F160" s="0" t="inlineStr">
        <is>
          <t>Predictive Accounting: Risk Modeling. Skills: Scenario Planning (C), Spreadsheet Automation (T), Financial Transparency (S). Tools: FinChat.io, Rows.com.</t>
        </is>
      </c>
      <c r="H160" s="0" t="n"/>
    </row>
    <row r="161">
      <c r="A161" s="4" t="n"/>
      <c r="B161" s="4" t="inlineStr">
        <is>
          <t>Close Out</t>
        </is>
      </c>
      <c r="C161" s="4" t="n">
        <v>30</v>
      </c>
      <c r="D161" s="4">
        <f>C161/60</f>
        <v/>
      </c>
    </row>
    <row r="162">
      <c r="A162" s="4" t="n"/>
      <c r="B162" s="16" t="n"/>
      <c r="C162" s="4" t="n"/>
      <c r="D162" s="6">
        <f>SUM(D154:D161)</f>
        <v/>
      </c>
    </row>
    <row r="163">
      <c r="A163" s="12" t="inlineStr">
        <is>
          <t>Day 3 - Wed, July 22</t>
        </is>
      </c>
      <c r="B163" s="13" t="n"/>
      <c r="C163" s="13" t="n"/>
      <c r="D163" s="13" t="n"/>
    </row>
    <row r="164">
      <c r="A164" s="4" t="inlineStr">
        <is>
          <t>Morning Block</t>
        </is>
      </c>
      <c r="B164" s="16" t="inlineStr">
        <is>
          <t>Icebreaker &amp; Daily Orientation</t>
        </is>
      </c>
      <c r="C164" s="4" t="n">
        <v>30</v>
      </c>
      <c r="D164" s="4">
        <f>C164/60</f>
        <v/>
      </c>
    </row>
    <row r="165">
      <c r="B165" s="4" t="inlineStr">
        <is>
          <t>Financial Projections &amp; Break Even</t>
        </is>
      </c>
      <c r="C165" s="4" t="n">
        <v>60</v>
      </c>
      <c r="D165" s="4">
        <f>C165/60</f>
        <v/>
      </c>
    </row>
    <row r="166">
      <c r="A166" s="16" t="n"/>
      <c r="B166" s="16" t="inlineStr">
        <is>
          <t>Entrepreneurial Fundraising Introduction</t>
        </is>
      </c>
      <c r="C166" s="4" t="n">
        <v>60</v>
      </c>
      <c r="D166" s="4">
        <f>C166/60</f>
        <v/>
      </c>
    </row>
    <row r="167">
      <c r="A167" s="15" t="inlineStr">
        <is>
          <t>Lunch</t>
        </is>
      </c>
      <c r="B167" s="15" t="n"/>
      <c r="C167" s="15" t="n"/>
      <c r="D167" s="15" t="n">
        <v>0.5</v>
      </c>
    </row>
    <row r="168">
      <c r="B168" s="16" t="inlineStr">
        <is>
          <t>Startup Communication Tools</t>
        </is>
      </c>
      <c r="C168" s="4" t="n">
        <v>60</v>
      </c>
      <c r="D168" s="4">
        <f>C168/60</f>
        <v/>
      </c>
    </row>
    <row r="169">
      <c r="B169" s="19" t="inlineStr">
        <is>
          <t>AI Learning Block</t>
        </is>
      </c>
      <c r="C169" s="19" t="n">
        <v>90</v>
      </c>
      <c r="D169" s="19">
        <f>C169/60</f>
        <v/>
      </c>
      <c r="F169" s="0" t="inlineStr">
        <is>
          <t>The Virtual Shark Tank: Pitch Prep. Skills: Persuasive Communication (C), Real-time Speech Analysis (T), Handling Critique (S). Tools: Poised, Orai AI.</t>
        </is>
      </c>
      <c r="H169" s="0" t="n"/>
    </row>
    <row r="170">
      <c r="B170" s="4" t="inlineStr">
        <is>
          <t>Close Out</t>
        </is>
      </c>
      <c r="C170" s="4" t="n">
        <v>30</v>
      </c>
      <c r="D170" s="4">
        <f>C170/60</f>
        <v/>
      </c>
    </row>
    <row r="171">
      <c r="B171" s="16" t="n"/>
      <c r="C171" s="4" t="n"/>
      <c r="D171" s="6">
        <f>SUM(D163:D170)</f>
        <v/>
      </c>
    </row>
    <row r="172">
      <c r="A172" s="12" t="inlineStr">
        <is>
          <t>Day 4 - Thurs, July 23</t>
        </is>
      </c>
      <c r="B172" s="13" t="n"/>
      <c r="C172" s="13" t="n"/>
      <c r="D172" s="13" t="n"/>
    </row>
    <row r="173">
      <c r="B173" s="16" t="inlineStr">
        <is>
          <t>Icebreaker &amp; Daily Orientation</t>
        </is>
      </c>
      <c r="C173" s="4" t="n">
        <v>30</v>
      </c>
      <c r="D173" s="4">
        <f>C173/60</f>
        <v/>
      </c>
    </row>
    <row r="174">
      <c r="B174" s="16" t="inlineStr">
        <is>
          <t>Pitch Introduction</t>
        </is>
      </c>
      <c r="C174" s="4" t="n">
        <v>60</v>
      </c>
      <c r="D174" s="4">
        <f>C174/60</f>
        <v/>
      </c>
    </row>
    <row r="175">
      <c r="A175" s="16" t="n"/>
      <c r="B175" s="16" t="inlineStr">
        <is>
          <t>Pitch Template Introduction</t>
        </is>
      </c>
      <c r="C175" s="4" t="n">
        <v>60</v>
      </c>
      <c r="D175" s="4">
        <f>C175/60</f>
        <v/>
      </c>
    </row>
    <row r="176">
      <c r="A176" s="15" t="inlineStr">
        <is>
          <t>Lunch</t>
        </is>
      </c>
      <c r="B176" s="15" t="n"/>
      <c r="C176" s="15" t="n"/>
      <c r="D176" s="15" t="n">
        <v>0.5</v>
      </c>
    </row>
    <row r="177">
      <c r="A177" s="4" t="inlineStr">
        <is>
          <t>Afternoon Block</t>
        </is>
      </c>
      <c r="B177" s="16" t="inlineStr">
        <is>
          <t>Mentorship or Site Visit</t>
        </is>
      </c>
      <c r="C177" s="4" t="n">
        <v>180</v>
      </c>
      <c r="D177" s="4">
        <f>C177/60</f>
        <v/>
      </c>
    </row>
    <row r="178">
      <c r="A178" s="4" t="n"/>
      <c r="B178" s="16" t="n"/>
      <c r="C178" s="4" t="n"/>
      <c r="D178" s="6">
        <f>SUM(D173:D177)</f>
        <v/>
      </c>
    </row>
    <row r="179">
      <c r="A179" s="12" t="inlineStr">
        <is>
          <t>Day 5 - Fri, July 24</t>
        </is>
      </c>
      <c r="B179" s="13" t="n"/>
      <c r="C179" s="13" t="n"/>
      <c r="D179" s="13" t="n"/>
    </row>
    <row r="180">
      <c r="A180" s="4" t="inlineStr">
        <is>
          <t>Morning Block</t>
        </is>
      </c>
      <c r="B180" s="16" t="inlineStr">
        <is>
          <t>Icebreaker &amp; Daily Orientation</t>
        </is>
      </c>
      <c r="C180" s="4" t="n">
        <v>30</v>
      </c>
      <c r="D180" s="4">
        <f>C180/60</f>
        <v/>
      </c>
    </row>
    <row r="181">
      <c r="B181" s="16" t="inlineStr">
        <is>
          <t>Guest Speaker &amp; Activities Block</t>
        </is>
      </c>
      <c r="C181" s="4" t="n">
        <v>120</v>
      </c>
      <c r="D181" s="4">
        <f>C181/60</f>
        <v/>
      </c>
    </row>
    <row r="182">
      <c r="A182" s="15" t="inlineStr">
        <is>
          <t>Lunch</t>
        </is>
      </c>
      <c r="B182" s="15" t="n"/>
      <c r="C182" s="15" t="n"/>
      <c r="D182" s="15" t="n">
        <v>0.5</v>
      </c>
    </row>
    <row r="183">
      <c r="A183" s="4" t="inlineStr">
        <is>
          <t>Afternoon Block</t>
        </is>
      </c>
      <c r="B183" s="4" t="inlineStr">
        <is>
          <t>Project Management Review</t>
        </is>
      </c>
      <c r="C183" s="4" t="n">
        <v>45</v>
      </c>
      <c r="D183" s="4">
        <f>C183/60</f>
        <v/>
      </c>
    </row>
    <row r="184">
      <c r="A184" s="16" t="n"/>
      <c r="B184" s="4" t="inlineStr">
        <is>
          <t>Final Pitch Work Time</t>
        </is>
      </c>
      <c r="C184" s="4" t="n">
        <v>135</v>
      </c>
      <c r="D184" s="4">
        <f>C184/60</f>
        <v/>
      </c>
    </row>
    <row r="185">
      <c r="B185" s="4" t="inlineStr">
        <is>
          <t>Close Out</t>
        </is>
      </c>
      <c r="C185" s="4" t="n">
        <v>30</v>
      </c>
      <c r="D185" s="4">
        <f>C185/60</f>
        <v/>
      </c>
    </row>
    <row r="186">
      <c r="D186" s="6">
        <f>SUM(D180:D184)</f>
        <v/>
      </c>
    </row>
    <row r="187">
      <c r="D187" s="6" t="n"/>
    </row>
    <row r="188">
      <c r="H188" s="16" t="n"/>
      <c r="I188" s="16" t="n"/>
    </row>
    <row r="189">
      <c r="A189" s="23" t="n"/>
      <c r="B189" s="23" t="n"/>
      <c r="C189" s="23" t="n"/>
      <c r="D189" s="23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>
      <c r="A190" s="11" t="inlineStr">
        <is>
          <t>WEEK 5</t>
        </is>
      </c>
      <c r="B190" s="11" t="n"/>
      <c r="C190" s="11" t="n"/>
      <c r="D190" s="11" t="n"/>
    </row>
    <row r="191">
      <c r="A191" s="12" t="inlineStr">
        <is>
          <t>Day 1 - Mon, July 27 - Semifinals</t>
        </is>
      </c>
      <c r="B191" s="13" t="n"/>
      <c r="C191" s="13" t="n"/>
      <c r="D191" s="13" t="n"/>
    </row>
    <row r="192">
      <c r="A192" s="4" t="inlineStr">
        <is>
          <t>Morning Block</t>
        </is>
      </c>
      <c r="B192" s="16" t="inlineStr">
        <is>
          <t>Icebreaker &amp; Daily Orientation</t>
        </is>
      </c>
      <c r="C192" s="4" t="n">
        <v>30</v>
      </c>
      <c r="D192" s="4">
        <f>C192/60</f>
        <v/>
      </c>
    </row>
    <row r="193">
      <c r="B193" s="16" t="inlineStr">
        <is>
          <t>Prep for Semifinal Pitches</t>
        </is>
      </c>
      <c r="C193" s="4" t="n">
        <v>120</v>
      </c>
      <c r="D193" s="4">
        <f>C193/60</f>
        <v/>
      </c>
      <c r="F193" s="0" t="inlineStr">
        <is>
          <t>AI Pitch Polish. Skills: Storytelling Rhetoric (C), Video Synthesis (T). Tools: HeyGen, Canva Magic Media.</t>
        </is>
      </c>
      <c r="H193" s="0" t="n"/>
    </row>
    <row r="194">
      <c r="A194" s="15" t="inlineStr">
        <is>
          <t>Lunch</t>
        </is>
      </c>
      <c r="B194" s="15" t="n"/>
      <c r="C194" s="15" t="n"/>
      <c r="D194" s="15" t="n">
        <v>0.5</v>
      </c>
    </row>
    <row r="195">
      <c r="A195" s="4" t="inlineStr">
        <is>
          <t>Afternoon Block</t>
        </is>
      </c>
      <c r="B195" s="4" t="inlineStr">
        <is>
          <t>Commute to Pitch Venue</t>
        </is>
      </c>
      <c r="C195" s="4" t="n">
        <v>45</v>
      </c>
      <c r="D195" s="4">
        <f>C195/60</f>
        <v/>
      </c>
    </row>
    <row r="196">
      <c r="B196" s="16" t="inlineStr">
        <is>
          <t>Semi Final Pitches</t>
        </is>
      </c>
      <c r="C196" s="4" t="n">
        <v>135</v>
      </c>
      <c r="D196" s="4">
        <f>C196/60</f>
        <v/>
      </c>
    </row>
    <row r="197">
      <c r="D197" s="6">
        <f>SUM(D192:D196)</f>
        <v/>
      </c>
    </row>
    <row r="199">
      <c r="A199" s="12" t="inlineStr">
        <is>
          <t>Day 2 - Tues, July 28 - Final Pitches</t>
        </is>
      </c>
      <c r="B199" s="13" t="n"/>
      <c r="C199" s="13" t="n"/>
      <c r="D199" s="13" t="n"/>
    </row>
    <row r="200">
      <c r="A200" s="4" t="inlineStr">
        <is>
          <t>Morning Block</t>
        </is>
      </c>
      <c r="B200" s="16" t="inlineStr">
        <is>
          <t>Icebreaker &amp; Daily Orientation</t>
        </is>
      </c>
      <c r="C200" s="4" t="n">
        <v>30</v>
      </c>
      <c r="D200" s="4">
        <f>C200/60</f>
        <v/>
      </c>
    </row>
    <row r="201">
      <c r="B201" s="16" t="inlineStr">
        <is>
          <t>Prep for Semifinal Pitches</t>
        </is>
      </c>
      <c r="C201" s="4" t="n">
        <v>120</v>
      </c>
      <c r="D201" s="4">
        <f>C201/60</f>
        <v/>
      </c>
      <c r="F201" s="0" t="inlineStr">
        <is>
          <t>AI Pitch Polish. Skills: Storytelling Rhetoric (C), Video Synthesis (T). Tools: HeyGen, Canva Magic Media.</t>
        </is>
      </c>
      <c r="H201" s="0" t="n"/>
    </row>
    <row r="202">
      <c r="A202" s="15" t="inlineStr">
        <is>
          <t>Lunch</t>
        </is>
      </c>
      <c r="B202" s="15" t="n"/>
      <c r="C202" s="15" t="n"/>
      <c r="D202" s="15" t="n">
        <v>0.5</v>
      </c>
    </row>
    <row r="203">
      <c r="A203" s="4" t="inlineStr">
        <is>
          <t>Afternoon Block</t>
        </is>
      </c>
      <c r="B203" s="4" t="inlineStr">
        <is>
          <t>Commute to Pitch Venue</t>
        </is>
      </c>
      <c r="C203" s="4" t="n">
        <v>45</v>
      </c>
      <c r="D203" s="4">
        <f>C203/60</f>
        <v/>
      </c>
    </row>
    <row r="204">
      <c r="B204" s="16" t="inlineStr">
        <is>
          <t>Final Pitches</t>
        </is>
      </c>
      <c r="C204" s="4" t="n">
        <v>135</v>
      </c>
      <c r="D204" s="4">
        <f>C204/60</f>
        <v/>
      </c>
    </row>
    <row r="205">
      <c r="D205" s="6">
        <f>SUM(D200:D204)</f>
        <v/>
      </c>
    </row>
    <row r="206">
      <c r="B206" s="16" t="n"/>
    </row>
    <row r="207">
      <c r="A207" s="12" t="inlineStr">
        <is>
          <t>Day 3 - Tues, July 29 - Debrief</t>
        </is>
      </c>
      <c r="B207" s="13" t="n"/>
      <c r="C207" s="13" t="n"/>
      <c r="D207" s="13" t="n"/>
    </row>
    <row r="208">
      <c r="A208" s="4" t="inlineStr">
        <is>
          <t>Morning Block</t>
        </is>
      </c>
      <c r="B208" s="16" t="inlineStr">
        <is>
          <t>Icebreaker &amp; Daily Orientation</t>
        </is>
      </c>
      <c r="C208" s="4" t="n">
        <v>30</v>
      </c>
      <c r="D208" s="4">
        <f>C208/60</f>
        <v/>
      </c>
    </row>
    <row r="209">
      <c r="B209" s="16" t="inlineStr">
        <is>
          <t>Final Survey &amp; Reflections</t>
        </is>
      </c>
      <c r="C209" s="4" t="n">
        <v>60</v>
      </c>
      <c r="D209" s="4">
        <f>C209/60</f>
        <v/>
      </c>
    </row>
    <row r="210">
      <c r="A210" s="15" t="inlineStr">
        <is>
          <t>Lunch</t>
        </is>
      </c>
      <c r="B210" s="15" t="n"/>
      <c r="C210" s="15" t="n"/>
      <c r="D210" s="15" t="n">
        <v>1</v>
      </c>
    </row>
    <row r="211">
      <c r="A211" s="4" t="inlineStr">
        <is>
          <t>Afternoon Block</t>
        </is>
      </c>
      <c r="B211" s="4" t="inlineStr">
        <is>
          <t>Final Ceremony</t>
        </is>
      </c>
      <c r="C211" s="4" t="n">
        <v>120</v>
      </c>
      <c r="D211" s="4">
        <f>C211/60</f>
        <v/>
      </c>
    </row>
    <row r="212">
      <c r="B212" s="16" t="inlineStr">
        <is>
          <t>Close Out</t>
        </is>
      </c>
      <c r="C212" s="4" t="n">
        <v>30</v>
      </c>
      <c r="D212" s="4">
        <f>C212/60</f>
        <v/>
      </c>
    </row>
    <row r="213">
      <c r="D213" s="6">
        <f>SUM(D208:D212)</f>
        <v/>
      </c>
    </row>
    <row r="214">
      <c r="D214" s="6" t="n"/>
    </row>
    <row r="216">
      <c r="A216" s="16" t="n"/>
    </row>
    <row r="217">
      <c r="A217" s="16" t="n"/>
      <c r="B217" s="16" t="n"/>
    </row>
    <row r="218">
      <c r="A218" s="16" t="n"/>
      <c r="D218" s="6" t="n"/>
    </row>
    <row r="219">
      <c r="D219" s="6" t="n"/>
    </row>
    <row r="221">
      <c r="B221" s="16" t="n"/>
    </row>
    <row r="222">
      <c r="A222" s="16" t="n"/>
      <c r="B222" s="16" t="n"/>
    </row>
    <row r="223">
      <c r="A223" s="16" t="n"/>
      <c r="D223" s="6" t="n"/>
    </row>
    <row r="224">
      <c r="A224" s="16" t="n"/>
    </row>
    <row r="225">
      <c r="D225" s="6" t="n"/>
    </row>
    <row r="226">
      <c r="A226" s="16" t="n"/>
      <c r="B226" s="16" t="n"/>
    </row>
    <row r="227">
      <c r="A227" s="16" t="n"/>
    </row>
    <row r="228">
      <c r="B228" s="16" t="n"/>
    </row>
    <row r="229">
      <c r="D229" s="6" t="n"/>
    </row>
    <row r="230">
      <c r="B230" s="16" t="n"/>
    </row>
    <row r="231">
      <c r="A231" s="16" t="n"/>
      <c r="B231" s="16" t="n"/>
    </row>
    <row r="232">
      <c r="A232" s="16" t="n"/>
      <c r="B232" s="16" t="n"/>
    </row>
    <row r="233">
      <c r="A233" s="16" t="n"/>
      <c r="B233" s="16" t="n"/>
    </row>
    <row r="234">
      <c r="A234" s="16" t="n"/>
    </row>
    <row r="235">
      <c r="A235" s="16" t="n"/>
      <c r="D235" s="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1" t="n"/>
      <c r="B240" s="11" t="n"/>
      <c r="C240" s="11" t="n"/>
      <c r="D240" s="11" t="n"/>
    </row>
    <row r="241">
      <c r="A241" s="12" t="n"/>
      <c r="B241" s="13" t="n"/>
      <c r="C241" s="13" t="n"/>
      <c r="D241" s="13" t="n"/>
    </row>
    <row r="242">
      <c r="B242" s="16" t="n"/>
    </row>
    <row r="243">
      <c r="B243" s="16" t="n"/>
    </row>
    <row r="244">
      <c r="B244" s="16" t="n"/>
    </row>
    <row r="246">
      <c r="D246" s="6" t="n"/>
    </row>
    <row r="247">
      <c r="A247" s="15" t="n"/>
    </row>
    <row r="249">
      <c r="A249" s="16" t="n"/>
    </row>
    <row r="250">
      <c r="A250" s="16" t="n"/>
    </row>
    <row r="251">
      <c r="A251" s="16" t="n"/>
      <c r="B251" s="16" t="n"/>
    </row>
    <row r="252">
      <c r="A252" s="16" t="n"/>
      <c r="D252" s="6" t="n"/>
    </row>
    <row r="253">
      <c r="A253" s="12" t="n"/>
      <c r="B253" s="13" t="n"/>
      <c r="C253" s="13" t="n"/>
      <c r="D253" s="13" t="n"/>
    </row>
    <row r="254">
      <c r="B254" s="16" t="n"/>
    </row>
    <row r="255">
      <c r="B255" s="16" t="n"/>
    </row>
    <row r="256">
      <c r="D256" s="6" t="n"/>
    </row>
    <row r="257">
      <c r="A257" s="15" t="n"/>
    </row>
    <row r="259">
      <c r="A259" s="16" t="n"/>
      <c r="B259" s="16" t="n"/>
    </row>
    <row r="260">
      <c r="A260" s="16" t="n"/>
      <c r="B260" s="16" t="n"/>
    </row>
    <row r="261">
      <c r="A261" s="16" t="n"/>
      <c r="B261" s="16" t="n"/>
    </row>
    <row r="262">
      <c r="A262" s="16" t="n"/>
      <c r="D262" s="6" t="n"/>
    </row>
    <row r="263">
      <c r="A263" s="12" t="n"/>
      <c r="B263" s="13" t="n"/>
      <c r="C263" s="13" t="n"/>
      <c r="D263" s="13" t="n"/>
    </row>
    <row r="264">
      <c r="B264" s="16" t="n"/>
    </row>
    <row r="266">
      <c r="D266" s="6" t="n"/>
    </row>
    <row r="267">
      <c r="A267" s="15" t="n"/>
    </row>
    <row r="268">
      <c r="B268" s="16" t="n"/>
    </row>
    <row r="269">
      <c r="A269" s="16" t="n"/>
      <c r="B269" s="16" t="n"/>
    </row>
    <row r="270">
      <c r="A270" s="16" t="n"/>
      <c r="B270" s="16" t="n"/>
    </row>
    <row r="271">
      <c r="A271" s="16" t="n"/>
      <c r="D271" s="6" t="n"/>
    </row>
    <row r="272">
      <c r="A272" s="16" t="n"/>
    </row>
    <row r="273">
      <c r="A273" s="12" t="n"/>
      <c r="B273" s="13" t="n"/>
      <c r="C273" s="13" t="n"/>
      <c r="D273" s="13" t="n"/>
    </row>
    <row r="274">
      <c r="B274" s="16" t="n"/>
    </row>
    <row r="275">
      <c r="B275" s="16" t="n"/>
    </row>
    <row r="276">
      <c r="D276" s="6" t="n"/>
    </row>
    <row r="277">
      <c r="A277" s="15" t="n"/>
    </row>
    <row r="278">
      <c r="B278" s="16" t="n"/>
    </row>
    <row r="279">
      <c r="A279" s="16" t="n"/>
      <c r="B279" s="16" t="n"/>
    </row>
    <row r="280">
      <c r="A280" s="16" t="n"/>
    </row>
    <row r="281">
      <c r="A281" s="12" t="n"/>
      <c r="B281" s="13" t="n"/>
      <c r="C281" s="13" t="n"/>
      <c r="D281" s="13" t="n"/>
    </row>
    <row r="282">
      <c r="B282" s="16" t="n"/>
    </row>
    <row r="283">
      <c r="B283" s="16" t="n"/>
    </row>
    <row r="284">
      <c r="D284" s="6" t="n"/>
    </row>
    <row r="285">
      <c r="A285" s="15" t="n"/>
    </row>
    <row r="286">
      <c r="B286" s="16" t="n"/>
    </row>
    <row r="287">
      <c r="A287" s="16" t="n"/>
      <c r="B287" s="16" t="n"/>
    </row>
    <row r="288">
      <c r="A288" s="16" t="n"/>
      <c r="B288" s="16" t="n"/>
    </row>
    <row r="289">
      <c r="A289" s="16" t="n"/>
    </row>
    <row r="290">
      <c r="A290" s="16" t="n"/>
      <c r="D290" s="6" t="n"/>
    </row>
    <row r="291">
      <c r="A291" s="16" t="n"/>
    </row>
    <row r="292">
      <c r="A292" s="16" t="n"/>
    </row>
    <row r="293">
      <c r="A293" s="16" t="n"/>
    </row>
    <row r="294">
      <c r="A294" s="16" t="n"/>
    </row>
    <row r="295">
      <c r="A295" s="16" t="n"/>
    </row>
    <row r="296">
      <c r="A296" s="16" t="n"/>
    </row>
    <row r="297">
      <c r="A297" s="16" t="n"/>
    </row>
    <row r="298">
      <c r="A298" s="16" t="n"/>
    </row>
    <row r="299">
      <c r="A299" s="16" t="n"/>
    </row>
    <row r="300">
      <c r="A300" s="16" t="n"/>
    </row>
    <row r="301">
      <c r="A301" s="16" t="n"/>
    </row>
    <row r="302">
      <c r="A302" s="16" t="n"/>
    </row>
    <row r="303">
      <c r="A303" s="16" t="n"/>
    </row>
    <row r="304">
      <c r="A304" s="16" t="n"/>
    </row>
    <row r="305">
      <c r="A305" s="16" t="n"/>
    </row>
    <row r="306">
      <c r="A306" s="16" t="n"/>
    </row>
    <row r="307">
      <c r="A307" s="16" t="n"/>
    </row>
    <row r="308">
      <c r="A308" s="16" t="n"/>
    </row>
    <row r="309">
      <c r="A309" s="16" t="n"/>
    </row>
    <row r="310">
      <c r="A310" s="16" t="n"/>
    </row>
    <row r="311">
      <c r="A311" s="16" t="n"/>
    </row>
    <row r="312">
      <c r="A312" s="16" t="n"/>
    </row>
    <row r="313">
      <c r="A313" s="16" t="n"/>
    </row>
    <row r="314">
      <c r="A314" s="16" t="n"/>
    </row>
    <row r="315">
      <c r="A315" s="16" t="n"/>
    </row>
    <row r="316">
      <c r="A316" s="16" t="n"/>
    </row>
    <row r="317">
      <c r="A317" s="16" t="n"/>
    </row>
    <row r="318">
      <c r="A318" s="16" t="n"/>
    </row>
    <row r="319">
      <c r="A319" s="16" t="n"/>
    </row>
    <row r="320">
      <c r="A320" s="16" t="n"/>
    </row>
    <row r="321">
      <c r="A321" s="16" t="n"/>
    </row>
    <row r="322">
      <c r="A322" s="16" t="n"/>
    </row>
    <row r="323">
      <c r="A323" s="16" t="n"/>
    </row>
    <row r="324">
      <c r="A324" s="16" t="n"/>
    </row>
    <row r="325">
      <c r="A325" s="16" t="n"/>
    </row>
    <row r="326">
      <c r="A326" s="16" t="n"/>
    </row>
    <row r="327">
      <c r="A327" s="16" t="n"/>
    </row>
    <row r="328">
      <c r="A328" s="16" t="n"/>
    </row>
    <row r="329">
      <c r="A329" s="16" t="n"/>
    </row>
    <row r="330">
      <c r="A330" s="16" t="n"/>
    </row>
    <row r="331">
      <c r="A331" s="16" t="n"/>
    </row>
    <row r="332">
      <c r="A332" s="16" t="n"/>
    </row>
    <row r="333">
      <c r="A333" s="16" t="n"/>
    </row>
    <row r="334">
      <c r="A334" s="16" t="n"/>
    </row>
    <row r="335">
      <c r="A335" s="16" t="n"/>
    </row>
    <row r="336">
      <c r="A336" s="16" t="n"/>
    </row>
    <row r="337">
      <c r="A337" s="16" t="n"/>
    </row>
    <row r="338">
      <c r="A338" s="16" t="n"/>
    </row>
    <row r="339">
      <c r="A339" s="16" t="n"/>
    </row>
    <row r="340">
      <c r="A340" s="16" t="n"/>
    </row>
    <row r="341">
      <c r="A341" s="16" t="n"/>
    </row>
    <row r="342">
      <c r="A342" s="16" t="n"/>
    </row>
    <row r="343">
      <c r="A343" s="16" t="n"/>
    </row>
    <row r="344">
      <c r="A344" s="16" t="n"/>
    </row>
    <row r="345">
      <c r="A345" s="16" t="n"/>
    </row>
    <row r="346">
      <c r="A346" s="16" t="n"/>
    </row>
    <row r="347">
      <c r="A347" s="16" t="n"/>
    </row>
    <row r="348">
      <c r="A348" s="16" t="n"/>
    </row>
    <row r="349">
      <c r="A349" s="16" t="n"/>
    </row>
    <row r="350">
      <c r="A350" s="16" t="n"/>
    </row>
    <row r="351">
      <c r="A351" s="16" t="n"/>
    </row>
    <row r="352">
      <c r="A352" s="16" t="n"/>
    </row>
    <row r="353">
      <c r="A353" s="16" t="n"/>
    </row>
    <row r="354">
      <c r="A354" s="16" t="n"/>
    </row>
    <row r="355">
      <c r="A355" s="16" t="n"/>
    </row>
    <row r="356">
      <c r="A356" s="16" t="n"/>
    </row>
    <row r="357">
      <c r="A357" s="16" t="n"/>
    </row>
    <row r="358">
      <c r="A358" s="16" t="n"/>
    </row>
    <row r="359">
      <c r="A359" s="16" t="n"/>
    </row>
    <row r="360">
      <c r="A360" s="16" t="n"/>
    </row>
    <row r="361">
      <c r="A361" s="16" t="n"/>
    </row>
    <row r="362">
      <c r="A362" s="16" t="n"/>
    </row>
    <row r="363">
      <c r="A363" s="16" t="n"/>
    </row>
    <row r="364">
      <c r="A364" s="16" t="n"/>
    </row>
    <row r="365">
      <c r="A365" s="16" t="n"/>
    </row>
    <row r="366">
      <c r="A366" s="16" t="n"/>
    </row>
    <row r="367">
      <c r="A367" s="16" t="n"/>
    </row>
    <row r="368">
      <c r="A368" s="16" t="n"/>
    </row>
    <row r="369">
      <c r="A369" s="16" t="n"/>
    </row>
    <row r="370">
      <c r="A370" s="16" t="n"/>
    </row>
    <row r="371">
      <c r="A371" s="16" t="n"/>
    </row>
    <row r="372">
      <c r="A372" s="16" t="n"/>
    </row>
    <row r="373">
      <c r="A373" s="16" t="n"/>
    </row>
    <row r="374">
      <c r="A374" s="16" t="n"/>
    </row>
    <row r="375">
      <c r="A375" s="16" t="n"/>
    </row>
    <row r="376">
      <c r="A376" s="16" t="n"/>
    </row>
    <row r="377">
      <c r="A377" s="16" t="n"/>
    </row>
    <row r="378">
      <c r="A378" s="16" t="n"/>
    </row>
    <row r="379">
      <c r="A379" s="16" t="n"/>
    </row>
    <row r="380">
      <c r="A380" s="16" t="n"/>
    </row>
    <row r="381">
      <c r="A381" s="16" t="n"/>
    </row>
    <row r="382">
      <c r="A382" s="16" t="n"/>
    </row>
    <row r="383">
      <c r="A383" s="16" t="n"/>
    </row>
    <row r="384">
      <c r="A384" s="16" t="n"/>
    </row>
    <row r="385">
      <c r="A385" s="16" t="n"/>
    </row>
    <row r="386">
      <c r="A386" s="16" t="n"/>
    </row>
    <row r="387">
      <c r="A387" s="16" t="n"/>
    </row>
    <row r="388">
      <c r="A388" s="16" t="n"/>
    </row>
    <row r="389">
      <c r="A389" s="16" t="n"/>
    </row>
    <row r="390">
      <c r="A390" s="16" t="n"/>
    </row>
    <row r="391">
      <c r="A391" s="16" t="n"/>
    </row>
    <row r="392">
      <c r="A392" s="16" t="n"/>
    </row>
    <row r="393">
      <c r="A393" s="16" t="n"/>
    </row>
    <row r="394">
      <c r="A394" s="16" t="n"/>
    </row>
    <row r="395">
      <c r="A395" s="16" t="n"/>
    </row>
    <row r="396">
      <c r="A396" s="16" t="n"/>
    </row>
    <row r="397">
      <c r="A397" s="16" t="n"/>
    </row>
    <row r="398">
      <c r="A398" s="16" t="n"/>
    </row>
    <row r="399">
      <c r="A399" s="16" t="n"/>
    </row>
    <row r="400">
      <c r="A400" s="16" t="n"/>
    </row>
    <row r="401">
      <c r="A401" s="16" t="n"/>
    </row>
    <row r="402">
      <c r="A402" s="16" t="n"/>
    </row>
    <row r="403">
      <c r="A403" s="16" t="n"/>
    </row>
    <row r="404">
      <c r="A404" s="16" t="n"/>
    </row>
    <row r="405">
      <c r="A405" s="16" t="n"/>
    </row>
    <row r="406">
      <c r="A406" s="16" t="n"/>
    </row>
    <row r="407">
      <c r="A407" s="16" t="n"/>
    </row>
    <row r="408">
      <c r="A408" s="16" t="n"/>
    </row>
    <row r="409">
      <c r="A409" s="16" t="n"/>
    </row>
    <row r="410">
      <c r="A410" s="16" t="n"/>
    </row>
    <row r="411">
      <c r="A411" s="16" t="n"/>
    </row>
    <row r="412">
      <c r="A412" s="16" t="n"/>
    </row>
    <row r="413">
      <c r="A413" s="16" t="n"/>
    </row>
    <row r="414">
      <c r="A414" s="16" t="n"/>
    </row>
    <row r="415">
      <c r="A415" s="16" t="n"/>
    </row>
    <row r="416">
      <c r="A416" s="16" t="n"/>
    </row>
    <row r="417">
      <c r="A417" s="16" t="n"/>
    </row>
    <row r="418">
      <c r="A418" s="16" t="n"/>
    </row>
    <row r="419">
      <c r="A419" s="16" t="n"/>
    </row>
    <row r="420">
      <c r="A420" s="16" t="n"/>
    </row>
    <row r="421">
      <c r="A421" s="16" t="n"/>
    </row>
    <row r="422">
      <c r="A422" s="16" t="n"/>
    </row>
    <row r="423">
      <c r="A423" s="16" t="n"/>
    </row>
    <row r="424">
      <c r="A424" s="16" t="n"/>
    </row>
    <row r="425">
      <c r="A425" s="16" t="n"/>
    </row>
    <row r="426">
      <c r="A426" s="16" t="n"/>
    </row>
    <row r="427">
      <c r="A427" s="16" t="n"/>
    </row>
    <row r="428">
      <c r="A428" s="16" t="n"/>
    </row>
    <row r="429">
      <c r="A429" s="16" t="n"/>
    </row>
    <row r="430">
      <c r="A430" s="16" t="n"/>
    </row>
    <row r="431">
      <c r="A431" s="16" t="n"/>
    </row>
    <row r="432">
      <c r="A432" s="16" t="n"/>
    </row>
    <row r="433">
      <c r="A433" s="16" t="n"/>
    </row>
    <row r="434">
      <c r="A434" s="16" t="n"/>
    </row>
    <row r="435">
      <c r="A435" s="16" t="n"/>
    </row>
    <row r="436">
      <c r="A436" s="16" t="n"/>
    </row>
    <row r="437">
      <c r="A437" s="16" t="n"/>
    </row>
    <row r="438">
      <c r="A438" s="16" t="n"/>
    </row>
    <row r="439">
      <c r="A439" s="16" t="n"/>
    </row>
    <row r="440">
      <c r="A440" s="16" t="n"/>
    </row>
    <row r="441">
      <c r="A441" s="16" t="n"/>
    </row>
    <row r="442">
      <c r="A442" s="16" t="n"/>
    </row>
    <row r="443">
      <c r="A443" s="16" t="n"/>
    </row>
    <row r="444">
      <c r="A444" s="16" t="n"/>
    </row>
    <row r="445">
      <c r="A445" s="16" t="n"/>
    </row>
    <row r="446">
      <c r="A446" s="16" t="n"/>
    </row>
    <row r="447">
      <c r="A447" s="16" t="n"/>
    </row>
    <row r="448">
      <c r="A448" s="16" t="n"/>
    </row>
    <row r="449">
      <c r="A449" s="16" t="n"/>
    </row>
    <row r="450">
      <c r="A450" s="16" t="n"/>
    </row>
    <row r="451">
      <c r="A451" s="16" t="n"/>
    </row>
    <row r="452">
      <c r="A452" s="16" t="n"/>
    </row>
    <row r="453">
      <c r="A453" s="16" t="n"/>
    </row>
    <row r="454">
      <c r="A454" s="16" t="n"/>
    </row>
    <row r="455">
      <c r="A455" s="16" t="n"/>
    </row>
    <row r="456">
      <c r="A456" s="16" t="n"/>
    </row>
    <row r="457">
      <c r="A457" s="16" t="n"/>
    </row>
    <row r="458">
      <c r="A458" s="16" t="n"/>
    </row>
    <row r="459">
      <c r="A459" s="16" t="n"/>
    </row>
    <row r="460">
      <c r="A460" s="16" t="n"/>
    </row>
    <row r="461">
      <c r="A461" s="16" t="n"/>
    </row>
    <row r="462">
      <c r="A462" s="16" t="n"/>
    </row>
    <row r="463">
      <c r="A463" s="16" t="n"/>
    </row>
    <row r="464">
      <c r="A464" s="16" t="n"/>
    </row>
    <row r="465">
      <c r="A465" s="16" t="n"/>
    </row>
    <row r="466">
      <c r="A466" s="16" t="n"/>
    </row>
    <row r="467">
      <c r="A467" s="16" t="n"/>
    </row>
    <row r="468">
      <c r="A468" s="16" t="n"/>
    </row>
    <row r="469">
      <c r="A469" s="16" t="n"/>
    </row>
    <row r="470">
      <c r="A470" s="16" t="n"/>
    </row>
    <row r="471">
      <c r="A471" s="16" t="n"/>
    </row>
    <row r="472">
      <c r="A472" s="16" t="n"/>
    </row>
    <row r="473">
      <c r="A473" s="16" t="n"/>
    </row>
    <row r="474">
      <c r="A474" s="16" t="n"/>
    </row>
    <row r="475">
      <c r="A475" s="16" t="n"/>
    </row>
    <row r="476">
      <c r="A476" s="16" t="n"/>
    </row>
    <row r="477">
      <c r="A477" s="16" t="n"/>
    </row>
    <row r="478">
      <c r="A478" s="16" t="n"/>
    </row>
    <row r="479">
      <c r="A479" s="16" t="n"/>
    </row>
    <row r="480">
      <c r="A480" s="16" t="n"/>
    </row>
    <row r="481">
      <c r="A481" s="16" t="n"/>
    </row>
    <row r="482">
      <c r="A482" s="16" t="n"/>
    </row>
    <row r="483">
      <c r="A483" s="16" t="n"/>
    </row>
    <row r="484">
      <c r="A484" s="16" t="n"/>
    </row>
    <row r="485">
      <c r="A485" s="16" t="n"/>
    </row>
    <row r="486">
      <c r="A486" s="16" t="n"/>
    </row>
    <row r="487">
      <c r="A487" s="16" t="n"/>
    </row>
    <row r="488">
      <c r="A488" s="16" t="n"/>
    </row>
    <row r="489">
      <c r="A489" s="16" t="n"/>
    </row>
    <row r="490">
      <c r="A490" s="16" t="n"/>
    </row>
    <row r="491">
      <c r="A491" s="16" t="n"/>
    </row>
    <row r="492">
      <c r="A492" s="16" t="n"/>
    </row>
    <row r="493">
      <c r="A493" s="16" t="n"/>
    </row>
    <row r="494">
      <c r="A494" s="16" t="n"/>
    </row>
    <row r="495">
      <c r="A495" s="16" t="n"/>
    </row>
    <row r="496">
      <c r="A496" s="16" t="n"/>
    </row>
    <row r="497">
      <c r="A497" s="16" t="n"/>
    </row>
    <row r="498">
      <c r="A498" s="16" t="n"/>
    </row>
    <row r="499">
      <c r="A499" s="16" t="n"/>
    </row>
    <row r="500">
      <c r="A500" s="16" t="n"/>
    </row>
    <row r="501">
      <c r="A501" s="16" t="n"/>
    </row>
    <row r="502">
      <c r="A502" s="16" t="n"/>
    </row>
    <row r="503">
      <c r="A503" s="16" t="n"/>
    </row>
    <row r="504">
      <c r="A504" s="16" t="n"/>
    </row>
    <row r="505">
      <c r="A505" s="16" t="n"/>
    </row>
    <row r="506">
      <c r="A506" s="16" t="n"/>
    </row>
    <row r="507">
      <c r="A507" s="16" t="n"/>
    </row>
    <row r="508">
      <c r="A508" s="16" t="n"/>
    </row>
    <row r="509">
      <c r="A509" s="16" t="n"/>
    </row>
    <row r="510">
      <c r="A510" s="16" t="n"/>
    </row>
    <row r="511">
      <c r="A511" s="16" t="n"/>
    </row>
    <row r="512">
      <c r="A512" s="16" t="n"/>
    </row>
    <row r="513">
      <c r="A513" s="16" t="n"/>
    </row>
    <row r="514">
      <c r="A514" s="16" t="n"/>
    </row>
    <row r="515">
      <c r="A515" s="16" t="n"/>
    </row>
    <row r="516">
      <c r="A516" s="16" t="n"/>
    </row>
    <row r="517">
      <c r="A517" s="16" t="n"/>
    </row>
    <row r="518">
      <c r="A518" s="16" t="n"/>
    </row>
    <row r="519">
      <c r="A519" s="16" t="n"/>
    </row>
    <row r="520">
      <c r="A520" s="16" t="n"/>
    </row>
    <row r="521">
      <c r="A521" s="16" t="n"/>
    </row>
    <row r="522">
      <c r="A522" s="16" t="n"/>
    </row>
    <row r="523">
      <c r="A523" s="16" t="n"/>
    </row>
    <row r="524">
      <c r="A524" s="16" t="n"/>
    </row>
    <row r="525">
      <c r="A525" s="16" t="n"/>
    </row>
    <row r="526">
      <c r="A526" s="16" t="n"/>
    </row>
    <row r="527">
      <c r="A527" s="16" t="n"/>
    </row>
    <row r="528">
      <c r="A528" s="16" t="n"/>
    </row>
    <row r="529">
      <c r="A529" s="16" t="n"/>
    </row>
    <row r="530">
      <c r="A530" s="16" t="n"/>
    </row>
    <row r="531">
      <c r="A531" s="16" t="n"/>
    </row>
    <row r="532">
      <c r="A532" s="16" t="n"/>
    </row>
    <row r="533">
      <c r="A533" s="16" t="n"/>
    </row>
    <row r="534">
      <c r="A534" s="16" t="n"/>
    </row>
    <row r="535">
      <c r="A535" s="16" t="n"/>
    </row>
    <row r="536">
      <c r="A536" s="16" t="n"/>
    </row>
    <row r="537">
      <c r="A537" s="16" t="n"/>
    </row>
    <row r="538">
      <c r="A538" s="16" t="n"/>
    </row>
    <row r="539">
      <c r="A539" s="16" t="n"/>
    </row>
    <row r="540">
      <c r="A540" s="16" t="n"/>
    </row>
    <row r="541">
      <c r="A541" s="16" t="n"/>
    </row>
    <row r="542">
      <c r="A542" s="16" t="n"/>
    </row>
    <row r="543">
      <c r="A543" s="16" t="n"/>
    </row>
    <row r="544">
      <c r="A544" s="16" t="n"/>
    </row>
    <row r="545">
      <c r="A545" s="16" t="n"/>
    </row>
    <row r="546">
      <c r="A546" s="16" t="n"/>
    </row>
    <row r="547">
      <c r="A547" s="16" t="n"/>
    </row>
    <row r="548">
      <c r="A548" s="16" t="n"/>
    </row>
    <row r="549">
      <c r="A549" s="16" t="n"/>
    </row>
    <row r="550">
      <c r="A550" s="16" t="n"/>
    </row>
    <row r="551">
      <c r="A551" s="16" t="n"/>
    </row>
    <row r="552">
      <c r="A552" s="16" t="n"/>
    </row>
    <row r="553">
      <c r="A553" s="16" t="n"/>
    </row>
    <row r="554">
      <c r="A554" s="16" t="n"/>
    </row>
    <row r="555">
      <c r="A555" s="16" t="n"/>
    </row>
    <row r="556">
      <c r="A556" s="16" t="n"/>
    </row>
    <row r="557">
      <c r="A557" s="16" t="n"/>
    </row>
    <row r="558">
      <c r="A558" s="16" t="n"/>
    </row>
    <row r="559">
      <c r="A559" s="16" t="n"/>
    </row>
    <row r="560">
      <c r="A560" s="16" t="n"/>
    </row>
    <row r="561">
      <c r="A561" s="16" t="n"/>
    </row>
    <row r="562">
      <c r="A562" s="16" t="n"/>
    </row>
    <row r="563">
      <c r="A563" s="16" t="n"/>
    </row>
    <row r="564">
      <c r="A564" s="16" t="n"/>
    </row>
    <row r="565">
      <c r="A565" s="16" t="n"/>
    </row>
    <row r="566">
      <c r="A566" s="16" t="n"/>
    </row>
    <row r="567">
      <c r="A567" s="16" t="n"/>
    </row>
    <row r="568">
      <c r="A568" s="16" t="n"/>
    </row>
    <row r="569">
      <c r="A569" s="16" t="n"/>
    </row>
    <row r="570">
      <c r="A570" s="16" t="n"/>
    </row>
    <row r="571">
      <c r="A571" s="16" t="n"/>
    </row>
    <row r="572">
      <c r="A572" s="16" t="n"/>
    </row>
    <row r="573">
      <c r="A573" s="16" t="n"/>
    </row>
    <row r="574">
      <c r="A574" s="16" t="n"/>
    </row>
    <row r="575">
      <c r="A575" s="16" t="n"/>
    </row>
    <row r="576">
      <c r="A576" s="16" t="n"/>
    </row>
    <row r="577">
      <c r="A577" s="16" t="n"/>
    </row>
    <row r="578">
      <c r="A578" s="16" t="n"/>
    </row>
    <row r="579">
      <c r="A579" s="16" t="n"/>
    </row>
    <row r="580">
      <c r="A580" s="16" t="n"/>
    </row>
    <row r="581">
      <c r="A581" s="16" t="n"/>
    </row>
    <row r="582">
      <c r="A582" s="16" t="n"/>
    </row>
    <row r="583">
      <c r="A583" s="16" t="n"/>
    </row>
    <row r="584">
      <c r="A584" s="16" t="n"/>
    </row>
    <row r="585">
      <c r="A585" s="16" t="n"/>
    </row>
    <row r="586">
      <c r="A586" s="16" t="n"/>
    </row>
    <row r="587">
      <c r="A587" s="16" t="n"/>
    </row>
    <row r="588">
      <c r="A588" s="16" t="n"/>
    </row>
    <row r="589">
      <c r="A589" s="16" t="n"/>
    </row>
    <row r="590">
      <c r="A590" s="16" t="n"/>
    </row>
    <row r="591">
      <c r="A591" s="16" t="n"/>
    </row>
    <row r="592">
      <c r="A592" s="16" t="n"/>
    </row>
    <row r="593">
      <c r="A593" s="16" t="n"/>
    </row>
    <row r="594">
      <c r="A594" s="16" t="n"/>
    </row>
    <row r="595">
      <c r="A595" s="16" t="n"/>
    </row>
    <row r="596">
      <c r="A596" s="16" t="n"/>
    </row>
    <row r="597">
      <c r="A597" s="16" t="n"/>
    </row>
    <row r="598">
      <c r="A598" s="16" t="n"/>
    </row>
    <row r="599">
      <c r="A599" s="16" t="n"/>
    </row>
    <row r="600">
      <c r="A600" s="16" t="n"/>
    </row>
    <row r="601">
      <c r="A601" s="16" t="n"/>
    </row>
    <row r="602">
      <c r="A602" s="16" t="n"/>
    </row>
    <row r="603">
      <c r="A603" s="16" t="n"/>
    </row>
    <row r="604">
      <c r="A604" s="16" t="n"/>
    </row>
    <row r="605">
      <c r="A605" s="16" t="n"/>
    </row>
    <row r="606">
      <c r="A606" s="16" t="n"/>
    </row>
    <row r="607">
      <c r="A607" s="16" t="n"/>
    </row>
    <row r="608">
      <c r="A608" s="16" t="n"/>
    </row>
    <row r="609">
      <c r="A609" s="16" t="n"/>
    </row>
    <row r="610">
      <c r="A610" s="16" t="n"/>
    </row>
    <row r="611">
      <c r="A611" s="16" t="n"/>
    </row>
    <row r="612">
      <c r="A612" s="16" t="n"/>
    </row>
    <row r="613">
      <c r="A613" s="16" t="n"/>
    </row>
    <row r="614">
      <c r="A614" s="16" t="n"/>
    </row>
    <row r="615">
      <c r="A615" s="16" t="n"/>
    </row>
    <row r="616">
      <c r="A616" s="16" t="n"/>
    </row>
    <row r="617">
      <c r="A617" s="16" t="n"/>
    </row>
    <row r="618">
      <c r="A618" s="16" t="n"/>
    </row>
    <row r="619">
      <c r="A619" s="16" t="n"/>
    </row>
    <row r="620">
      <c r="A620" s="16" t="n"/>
    </row>
    <row r="621">
      <c r="A621" s="16" t="n"/>
    </row>
    <row r="622">
      <c r="A622" s="16" t="n"/>
    </row>
    <row r="623">
      <c r="A623" s="16" t="n"/>
    </row>
    <row r="624">
      <c r="A624" s="16" t="n"/>
    </row>
    <row r="625">
      <c r="A625" s="16" t="n"/>
    </row>
    <row r="626">
      <c r="A626" s="16" t="n"/>
    </row>
    <row r="627">
      <c r="A627" s="16" t="n"/>
    </row>
    <row r="628">
      <c r="A628" s="16" t="n"/>
    </row>
    <row r="629">
      <c r="A629" s="16" t="n"/>
    </row>
    <row r="630">
      <c r="A630" s="16" t="n"/>
    </row>
    <row r="631">
      <c r="A631" s="16" t="n"/>
    </row>
    <row r="632">
      <c r="A632" s="16" t="n"/>
    </row>
    <row r="633">
      <c r="A633" s="16" t="n"/>
    </row>
    <row r="634">
      <c r="A634" s="16" t="n"/>
    </row>
    <row r="635">
      <c r="A635" s="16" t="n"/>
    </row>
    <row r="636">
      <c r="A636" s="16" t="n"/>
    </row>
    <row r="637">
      <c r="A637" s="16" t="n"/>
    </row>
    <row r="638">
      <c r="A638" s="16" t="n"/>
    </row>
    <row r="639">
      <c r="A639" s="16" t="n"/>
    </row>
    <row r="640">
      <c r="A640" s="16" t="n"/>
    </row>
    <row r="641">
      <c r="A641" s="16" t="n"/>
    </row>
    <row r="642">
      <c r="A642" s="16" t="n"/>
    </row>
    <row r="643">
      <c r="A643" s="16" t="n"/>
    </row>
    <row r="644">
      <c r="A644" s="16" t="n"/>
    </row>
    <row r="645">
      <c r="A645" s="16" t="n"/>
    </row>
    <row r="646">
      <c r="A646" s="16" t="n"/>
    </row>
    <row r="647">
      <c r="A647" s="16" t="n"/>
    </row>
    <row r="648">
      <c r="A648" s="16" t="n"/>
    </row>
    <row r="649">
      <c r="A649" s="16" t="n"/>
    </row>
    <row r="650">
      <c r="A650" s="16" t="n"/>
    </row>
    <row r="651">
      <c r="A651" s="16" t="n"/>
    </row>
    <row r="652">
      <c r="A652" s="16" t="n"/>
    </row>
    <row r="653">
      <c r="A653" s="16" t="n"/>
    </row>
    <row r="654">
      <c r="A654" s="16" t="n"/>
    </row>
    <row r="655">
      <c r="A655" s="16" t="n"/>
    </row>
    <row r="656">
      <c r="A656" s="16" t="n"/>
    </row>
    <row r="657">
      <c r="A657" s="16" t="n"/>
    </row>
    <row r="658">
      <c r="A658" s="16" t="n"/>
    </row>
    <row r="659">
      <c r="A659" s="16" t="n"/>
    </row>
    <row r="660">
      <c r="A660" s="16" t="n"/>
    </row>
    <row r="661">
      <c r="A661" s="16" t="n"/>
    </row>
    <row r="662">
      <c r="A662" s="16" t="n"/>
    </row>
    <row r="663">
      <c r="A663" s="16" t="n"/>
    </row>
    <row r="664">
      <c r="A664" s="16" t="n"/>
    </row>
    <row r="665">
      <c r="A665" s="16" t="n"/>
    </row>
    <row r="666">
      <c r="A666" s="16" t="n"/>
    </row>
    <row r="667">
      <c r="A667" s="16" t="n"/>
    </row>
    <row r="668">
      <c r="A668" s="16" t="n"/>
    </row>
    <row r="669">
      <c r="A669" s="16" t="n"/>
    </row>
    <row r="670">
      <c r="A670" s="16" t="n"/>
    </row>
    <row r="671">
      <c r="A671" s="16" t="n"/>
    </row>
    <row r="672">
      <c r="A672" s="16" t="n"/>
    </row>
    <row r="673">
      <c r="A673" s="16" t="n"/>
    </row>
    <row r="674">
      <c r="A674" s="16" t="n"/>
    </row>
    <row r="675">
      <c r="A675" s="16" t="n"/>
    </row>
    <row r="676">
      <c r="A676" s="16" t="n"/>
    </row>
    <row r="677">
      <c r="A677" s="16" t="n"/>
    </row>
    <row r="678">
      <c r="A678" s="16" t="n"/>
    </row>
    <row r="679">
      <c r="A679" s="16" t="n"/>
    </row>
    <row r="680">
      <c r="A680" s="16" t="n"/>
    </row>
    <row r="681">
      <c r="A681" s="16" t="n"/>
    </row>
    <row r="682">
      <c r="A682" s="16" t="n"/>
    </row>
    <row r="683">
      <c r="A683" s="16" t="n"/>
    </row>
    <row r="684">
      <c r="A684" s="16" t="n"/>
    </row>
    <row r="685">
      <c r="A685" s="16" t="n"/>
    </row>
    <row r="686">
      <c r="A686" s="16" t="n"/>
    </row>
    <row r="687">
      <c r="A687" s="16" t="n"/>
    </row>
    <row r="688">
      <c r="A688" s="16" t="n"/>
    </row>
    <row r="689">
      <c r="A689" s="16" t="n"/>
    </row>
    <row r="690">
      <c r="A690" s="16" t="n"/>
    </row>
    <row r="691">
      <c r="A691" s="16" t="n"/>
    </row>
    <row r="692">
      <c r="A692" s="16" t="n"/>
    </row>
    <row r="693">
      <c r="A693" s="16" t="n"/>
    </row>
    <row r="694">
      <c r="A694" s="16" t="n"/>
    </row>
    <row r="695">
      <c r="A695" s="16" t="n"/>
    </row>
    <row r="696">
      <c r="A696" s="16" t="n"/>
    </row>
    <row r="697">
      <c r="A697" s="16" t="n"/>
    </row>
    <row r="698">
      <c r="A698" s="16" t="n"/>
    </row>
    <row r="699">
      <c r="A699" s="16" t="n"/>
    </row>
    <row r="700">
      <c r="A700" s="16" t="n"/>
    </row>
    <row r="701">
      <c r="A701" s="16" t="n"/>
    </row>
    <row r="702">
      <c r="A702" s="16" t="n"/>
    </row>
    <row r="703">
      <c r="A703" s="16" t="n"/>
    </row>
    <row r="704">
      <c r="A704" s="16" t="n"/>
    </row>
    <row r="705">
      <c r="A705" s="16" t="n"/>
    </row>
    <row r="706">
      <c r="A706" s="16" t="n"/>
    </row>
    <row r="707">
      <c r="A707" s="16" t="n"/>
    </row>
    <row r="708">
      <c r="A708" s="16" t="n"/>
    </row>
    <row r="709">
      <c r="A709" s="16" t="n"/>
    </row>
    <row r="710">
      <c r="A710" s="16" t="n"/>
    </row>
    <row r="711">
      <c r="A711" s="16" t="n"/>
    </row>
    <row r="712">
      <c r="A712" s="16" t="n"/>
    </row>
    <row r="713">
      <c r="A713" s="16" t="n"/>
    </row>
    <row r="714">
      <c r="A714" s="16" t="n"/>
    </row>
    <row r="715">
      <c r="A715" s="16" t="n"/>
    </row>
    <row r="716">
      <c r="A716" s="16" t="n"/>
    </row>
    <row r="717">
      <c r="A717" s="16" t="n"/>
    </row>
    <row r="718">
      <c r="A718" s="16" t="n"/>
    </row>
    <row r="719">
      <c r="A719" s="16" t="n"/>
    </row>
    <row r="720">
      <c r="A720" s="16" t="n"/>
    </row>
    <row r="721">
      <c r="A721" s="16" t="n"/>
    </row>
    <row r="722">
      <c r="A722" s="16" t="n"/>
    </row>
    <row r="723">
      <c r="A723" s="16" t="n"/>
    </row>
    <row r="724">
      <c r="A724" s="16" t="n"/>
    </row>
    <row r="725">
      <c r="A725" s="16" t="n"/>
    </row>
    <row r="726">
      <c r="A726" s="16" t="n"/>
    </row>
    <row r="727">
      <c r="A727" s="16" t="n"/>
    </row>
    <row r="728">
      <c r="A728" s="16" t="n"/>
    </row>
    <row r="729">
      <c r="A729" s="16" t="n"/>
    </row>
    <row r="730">
      <c r="A730" s="16" t="n"/>
    </row>
    <row r="731">
      <c r="A731" s="16" t="n"/>
    </row>
    <row r="732">
      <c r="A732" s="16" t="n"/>
    </row>
    <row r="733">
      <c r="A733" s="16" t="n"/>
    </row>
    <row r="734">
      <c r="A734" s="16" t="n"/>
    </row>
    <row r="735">
      <c r="A735" s="16" t="n"/>
    </row>
    <row r="736">
      <c r="A736" s="16" t="n"/>
    </row>
    <row r="737">
      <c r="A737" s="16" t="n"/>
    </row>
    <row r="738">
      <c r="A738" s="16" t="n"/>
    </row>
    <row r="739">
      <c r="A739" s="16" t="n"/>
    </row>
    <row r="740">
      <c r="A740" s="16" t="n"/>
    </row>
    <row r="741">
      <c r="A741" s="16" t="n"/>
    </row>
    <row r="742">
      <c r="A742" s="16" t="n"/>
    </row>
    <row r="743">
      <c r="A743" s="16" t="n"/>
    </row>
    <row r="744">
      <c r="A744" s="16" t="n"/>
    </row>
    <row r="745">
      <c r="A745" s="16" t="n"/>
    </row>
    <row r="746">
      <c r="A746" s="16" t="n"/>
    </row>
    <row r="747">
      <c r="A747" s="16" t="n"/>
    </row>
    <row r="748">
      <c r="A748" s="16" t="n"/>
    </row>
    <row r="749">
      <c r="A749" s="16" t="n"/>
    </row>
    <row r="750">
      <c r="A750" s="16" t="n"/>
    </row>
    <row r="751">
      <c r="A751" s="16" t="n"/>
    </row>
    <row r="752">
      <c r="A752" s="16" t="n"/>
    </row>
    <row r="753">
      <c r="A753" s="16" t="n"/>
    </row>
    <row r="754">
      <c r="A754" s="16" t="n"/>
    </row>
    <row r="755">
      <c r="A755" s="16" t="n"/>
    </row>
    <row r="756">
      <c r="A756" s="16" t="n"/>
    </row>
    <row r="757">
      <c r="A757" s="16" t="n"/>
    </row>
    <row r="758">
      <c r="A758" s="16" t="n"/>
    </row>
    <row r="759">
      <c r="A759" s="16" t="n"/>
    </row>
    <row r="760">
      <c r="A760" s="16" t="n"/>
    </row>
    <row r="761">
      <c r="A761" s="16" t="n"/>
    </row>
    <row r="762">
      <c r="A762" s="16" t="n"/>
    </row>
    <row r="763">
      <c r="A763" s="16" t="n"/>
    </row>
    <row r="764">
      <c r="A764" s="16" t="n"/>
    </row>
    <row r="765">
      <c r="A765" s="16" t="n"/>
    </row>
    <row r="766">
      <c r="A766" s="16" t="n"/>
    </row>
    <row r="767">
      <c r="A767" s="16" t="n"/>
    </row>
    <row r="768">
      <c r="A768" s="16" t="n"/>
    </row>
    <row r="769">
      <c r="A769" s="16" t="n"/>
    </row>
    <row r="770">
      <c r="A770" s="16" t="n"/>
    </row>
    <row r="771">
      <c r="A771" s="16" t="n"/>
    </row>
    <row r="772">
      <c r="A772" s="16" t="n"/>
    </row>
    <row r="773">
      <c r="A773" s="16" t="n"/>
    </row>
    <row r="774">
      <c r="A774" s="16" t="n"/>
    </row>
    <row r="775">
      <c r="A775" s="16" t="n"/>
    </row>
    <row r="776">
      <c r="A776" s="16" t="n"/>
    </row>
    <row r="777">
      <c r="A777" s="16" t="n"/>
    </row>
    <row r="778">
      <c r="A778" s="16" t="n"/>
    </row>
    <row r="779">
      <c r="A779" s="16" t="n"/>
    </row>
    <row r="780">
      <c r="A780" s="16" t="n"/>
    </row>
    <row r="781">
      <c r="A781" s="16" t="n"/>
    </row>
    <row r="782">
      <c r="A782" s="16" t="n"/>
    </row>
    <row r="783">
      <c r="A783" s="16" t="n"/>
    </row>
    <row r="784">
      <c r="A784" s="16" t="n"/>
    </row>
    <row r="785">
      <c r="A785" s="16" t="n"/>
    </row>
    <row r="786">
      <c r="A786" s="16" t="n"/>
    </row>
    <row r="787">
      <c r="A787" s="16" t="n"/>
    </row>
    <row r="788">
      <c r="A788" s="16" t="n"/>
    </row>
    <row r="789">
      <c r="A789" s="16" t="n"/>
    </row>
    <row r="790">
      <c r="A790" s="16" t="n"/>
    </row>
    <row r="791">
      <c r="A791" s="16" t="n"/>
    </row>
    <row r="792">
      <c r="A792" s="16" t="n"/>
    </row>
    <row r="793">
      <c r="A793" s="16" t="n"/>
    </row>
    <row r="794">
      <c r="A794" s="16" t="n"/>
    </row>
    <row r="795">
      <c r="A795" s="16" t="n"/>
    </row>
    <row r="796">
      <c r="A796" s="16" t="n"/>
    </row>
    <row r="797">
      <c r="A797" s="16" t="n"/>
    </row>
    <row r="798">
      <c r="A798" s="16" t="n"/>
    </row>
    <row r="799">
      <c r="A799" s="16" t="n"/>
    </row>
    <row r="800">
      <c r="A800" s="16" t="n"/>
    </row>
    <row r="801">
      <c r="A801" s="16" t="n"/>
    </row>
    <row r="802">
      <c r="A802" s="16" t="n"/>
    </row>
    <row r="803">
      <c r="A803" s="16" t="n"/>
    </row>
    <row r="804">
      <c r="A804" s="16" t="n"/>
    </row>
    <row r="805">
      <c r="A805" s="16" t="n"/>
    </row>
    <row r="806">
      <c r="A806" s="16" t="n"/>
    </row>
    <row r="807">
      <c r="A807" s="16" t="n"/>
    </row>
    <row r="808">
      <c r="A808" s="16" t="n"/>
    </row>
    <row r="809">
      <c r="A809" s="16" t="n"/>
    </row>
    <row r="810">
      <c r="A810" s="16" t="n"/>
    </row>
    <row r="811">
      <c r="A811" s="16" t="n"/>
    </row>
    <row r="812">
      <c r="A812" s="16" t="n"/>
    </row>
    <row r="813">
      <c r="A813" s="16" t="n"/>
    </row>
    <row r="814">
      <c r="A814" s="16" t="n"/>
    </row>
    <row r="815">
      <c r="A815" s="16" t="n"/>
    </row>
    <row r="816">
      <c r="A816" s="16" t="n"/>
    </row>
    <row r="817">
      <c r="A817" s="16" t="n"/>
    </row>
    <row r="818">
      <c r="A818" s="16" t="n"/>
    </row>
    <row r="819">
      <c r="A819" s="16" t="n"/>
    </row>
    <row r="820">
      <c r="A820" s="16" t="n"/>
    </row>
    <row r="821">
      <c r="A821" s="16" t="n"/>
    </row>
    <row r="822">
      <c r="A822" s="16" t="n"/>
    </row>
    <row r="823">
      <c r="A823" s="16" t="n"/>
    </row>
    <row r="824">
      <c r="A824" s="16" t="n"/>
    </row>
    <row r="825">
      <c r="A825" s="16" t="n"/>
    </row>
    <row r="826">
      <c r="A826" s="16" t="n"/>
    </row>
    <row r="827">
      <c r="A827" s="16" t="n"/>
    </row>
    <row r="828">
      <c r="A828" s="16" t="n"/>
    </row>
    <row r="829">
      <c r="A829" s="16" t="n"/>
    </row>
    <row r="830">
      <c r="A830" s="16" t="n"/>
    </row>
    <row r="831">
      <c r="A831" s="16" t="n"/>
    </row>
    <row r="832">
      <c r="A832" s="16" t="n"/>
    </row>
    <row r="833">
      <c r="A833" s="16" t="n"/>
    </row>
    <row r="834">
      <c r="A834" s="16" t="n"/>
    </row>
    <row r="835">
      <c r="A835" s="16" t="n"/>
    </row>
    <row r="836">
      <c r="A836" s="16" t="n"/>
    </row>
    <row r="837">
      <c r="A837" s="16" t="n"/>
    </row>
    <row r="838">
      <c r="A838" s="16" t="n"/>
    </row>
    <row r="839">
      <c r="A839" s="16" t="n"/>
    </row>
    <row r="840">
      <c r="A840" s="16" t="n"/>
    </row>
    <row r="841">
      <c r="A841" s="16" t="n"/>
    </row>
    <row r="842">
      <c r="A842" s="16" t="n"/>
    </row>
    <row r="843">
      <c r="A843" s="16" t="n"/>
    </row>
    <row r="844">
      <c r="A844" s="16" t="n"/>
    </row>
    <row r="845">
      <c r="A845" s="16" t="n"/>
    </row>
    <row r="846">
      <c r="A846" s="16" t="n"/>
    </row>
    <row r="847">
      <c r="A847" s="16" t="n"/>
    </row>
    <row r="848">
      <c r="A848" s="16" t="n"/>
    </row>
    <row r="849">
      <c r="A849" s="16" t="n"/>
    </row>
    <row r="850">
      <c r="A850" s="16" t="n"/>
    </row>
    <row r="851">
      <c r="A851" s="16" t="n"/>
    </row>
    <row r="852">
      <c r="A852" s="16" t="n"/>
    </row>
    <row r="853">
      <c r="A853" s="16" t="n"/>
    </row>
    <row r="854">
      <c r="A854" s="16" t="n"/>
    </row>
    <row r="855">
      <c r="A855" s="16" t="n"/>
    </row>
    <row r="856">
      <c r="A856" s="16" t="n"/>
    </row>
    <row r="857">
      <c r="A857" s="16" t="n"/>
    </row>
    <row r="858">
      <c r="A858" s="16" t="n"/>
    </row>
    <row r="859">
      <c r="A859" s="16" t="n"/>
    </row>
    <row r="860">
      <c r="A860" s="16" t="n"/>
    </row>
    <row r="861">
      <c r="A861" s="16" t="n"/>
    </row>
    <row r="862">
      <c r="A862" s="16" t="n"/>
    </row>
    <row r="863">
      <c r="A863" s="16" t="n"/>
    </row>
    <row r="864">
      <c r="A864" s="16" t="n"/>
    </row>
    <row r="865">
      <c r="A865" s="16" t="n"/>
    </row>
    <row r="866">
      <c r="A866" s="16" t="n"/>
    </row>
    <row r="867">
      <c r="A867" s="16" t="n"/>
    </row>
    <row r="868">
      <c r="A868" s="16" t="n"/>
    </row>
    <row r="869">
      <c r="A869" s="16" t="n"/>
    </row>
    <row r="870">
      <c r="A870" s="16" t="n"/>
    </row>
    <row r="871">
      <c r="A871" s="16" t="n"/>
    </row>
    <row r="872">
      <c r="A872" s="16" t="n"/>
    </row>
    <row r="873">
      <c r="A873" s="16" t="n"/>
    </row>
    <row r="874">
      <c r="A874" s="16" t="n"/>
    </row>
    <row r="875">
      <c r="A875" s="16" t="n"/>
    </row>
    <row r="876">
      <c r="A876" s="16" t="n"/>
    </row>
    <row r="877">
      <c r="A877" s="16" t="n"/>
    </row>
    <row r="878">
      <c r="A878" s="16" t="n"/>
    </row>
    <row r="879">
      <c r="A879" s="16" t="n"/>
    </row>
    <row r="880">
      <c r="A880" s="16" t="n"/>
    </row>
    <row r="881">
      <c r="A881" s="16" t="n"/>
    </row>
    <row r="882">
      <c r="A882" s="16" t="n"/>
    </row>
    <row r="883">
      <c r="A883" s="16" t="n"/>
    </row>
    <row r="884">
      <c r="A884" s="16" t="n"/>
    </row>
    <row r="885">
      <c r="A885" s="16" t="n"/>
    </row>
    <row r="886">
      <c r="A886" s="16" t="n"/>
    </row>
    <row r="887">
      <c r="A887" s="16" t="n"/>
    </row>
    <row r="888">
      <c r="A888" s="16" t="n"/>
    </row>
    <row r="889">
      <c r="A889" s="16" t="n"/>
    </row>
    <row r="890">
      <c r="A890" s="16" t="n"/>
    </row>
    <row r="891">
      <c r="A891" s="16" t="n"/>
    </row>
    <row r="892">
      <c r="A892" s="16" t="n"/>
    </row>
    <row r="893">
      <c r="A893" s="16" t="n"/>
    </row>
    <row r="894">
      <c r="A894" s="16" t="n"/>
    </row>
    <row r="895">
      <c r="A895" s="16" t="n"/>
    </row>
    <row r="896">
      <c r="A896" s="16" t="n"/>
    </row>
    <row r="897">
      <c r="A897" s="16" t="n"/>
    </row>
    <row r="898">
      <c r="A898" s="16" t="n"/>
    </row>
    <row r="899">
      <c r="A899" s="16" t="n"/>
    </row>
    <row r="900">
      <c r="A900" s="16" t="n"/>
    </row>
    <row r="901">
      <c r="A901" s="16" t="n"/>
    </row>
    <row r="902">
      <c r="A902" s="16" t="n"/>
    </row>
    <row r="903">
      <c r="A903" s="16" t="n"/>
    </row>
    <row r="904">
      <c r="A904" s="16" t="n"/>
    </row>
    <row r="905">
      <c r="A905" s="16" t="n"/>
    </row>
    <row r="906">
      <c r="A906" s="16" t="n"/>
    </row>
    <row r="907">
      <c r="A907" s="16" t="n"/>
    </row>
    <row r="908">
      <c r="A908" s="16" t="n"/>
    </row>
    <row r="909">
      <c r="A909" s="16" t="n"/>
    </row>
    <row r="910">
      <c r="A910" s="16" t="n"/>
    </row>
    <row r="911">
      <c r="A911" s="16" t="n"/>
    </row>
    <row r="912">
      <c r="A912" s="16" t="n"/>
    </row>
    <row r="913">
      <c r="A913" s="16" t="n"/>
    </row>
    <row r="914">
      <c r="A914" s="16" t="n"/>
    </row>
    <row r="915">
      <c r="A915" s="16" t="n"/>
    </row>
    <row r="916">
      <c r="A916" s="16" t="n"/>
    </row>
    <row r="917">
      <c r="A917" s="16" t="n"/>
    </row>
    <row r="918">
      <c r="A918" s="16" t="n"/>
    </row>
    <row r="919">
      <c r="A919" s="16" t="n"/>
    </row>
    <row r="920">
      <c r="A920" s="16" t="n"/>
    </row>
    <row r="921">
      <c r="A921" s="16" t="n"/>
    </row>
    <row r="922">
      <c r="A922" s="16" t="n"/>
    </row>
    <row r="923">
      <c r="A923" s="16" t="n"/>
    </row>
    <row r="924">
      <c r="A924" s="16" t="n"/>
    </row>
    <row r="925">
      <c r="A925" s="16" t="n"/>
    </row>
    <row r="926">
      <c r="A926" s="16" t="n"/>
    </row>
    <row r="927">
      <c r="A927" s="16" t="n"/>
    </row>
    <row r="928">
      <c r="A928" s="16" t="n"/>
    </row>
    <row r="929">
      <c r="A929" s="16" t="n"/>
    </row>
    <row r="930">
      <c r="A930" s="16" t="n"/>
    </row>
    <row r="931">
      <c r="A931" s="16" t="n"/>
    </row>
    <row r="932">
      <c r="A932" s="16" t="n"/>
    </row>
    <row r="933">
      <c r="A933" s="16" t="n"/>
    </row>
    <row r="934">
      <c r="A934" s="16" t="n"/>
    </row>
    <row r="935">
      <c r="A935" s="16" t="n"/>
    </row>
    <row r="936">
      <c r="A936" s="16" t="n"/>
    </row>
    <row r="937">
      <c r="A937" s="16" t="n"/>
    </row>
    <row r="938">
      <c r="A938" s="16" t="n"/>
    </row>
    <row r="939">
      <c r="A939" s="16" t="n"/>
    </row>
    <row r="940">
      <c r="A940" s="16" t="n"/>
    </row>
    <row r="941">
      <c r="A941" s="16" t="n"/>
    </row>
    <row r="942">
      <c r="A942" s="16" t="n"/>
    </row>
    <row r="943">
      <c r="A943" s="16" t="n"/>
    </row>
    <row r="944">
      <c r="A944" s="16" t="n"/>
    </row>
    <row r="945">
      <c r="A945" s="16" t="n"/>
    </row>
    <row r="946">
      <c r="A946" s="16" t="n"/>
    </row>
    <row r="947">
      <c r="A947" s="16" t="n"/>
    </row>
    <row r="948">
      <c r="A948" s="16" t="n"/>
    </row>
    <row r="949">
      <c r="A949" s="16" t="n"/>
    </row>
    <row r="950">
      <c r="A950" s="16" t="n"/>
    </row>
    <row r="951">
      <c r="A951" s="16" t="n"/>
    </row>
    <row r="952">
      <c r="A952" s="16" t="n"/>
    </row>
    <row r="953">
      <c r="A953" s="16" t="n"/>
    </row>
    <row r="954">
      <c r="A954" s="16" t="n"/>
    </row>
    <row r="955">
      <c r="A955" s="16" t="n"/>
    </row>
    <row r="956">
      <c r="A956" s="16" t="n"/>
    </row>
    <row r="957">
      <c r="A957" s="16" t="n"/>
    </row>
    <row r="958">
      <c r="A958" s="16" t="n"/>
    </row>
    <row r="959">
      <c r="A959" s="16" t="n"/>
    </row>
    <row r="960">
      <c r="A960" s="16" t="n"/>
    </row>
    <row r="961">
      <c r="A961" s="16" t="n"/>
    </row>
    <row r="962">
      <c r="A962" s="16" t="n"/>
    </row>
    <row r="963">
      <c r="A963" s="16" t="n"/>
    </row>
    <row r="964">
      <c r="A964" s="16" t="n"/>
    </row>
    <row r="965">
      <c r="A965" s="16" t="n"/>
    </row>
    <row r="966">
      <c r="A966" s="16" t="n"/>
    </row>
    <row r="967">
      <c r="A967" s="16" t="n"/>
    </row>
    <row r="968">
      <c r="A968" s="16" t="n"/>
    </row>
    <row r="969">
      <c r="A969" s="16" t="n"/>
    </row>
    <row r="970">
      <c r="A970" s="16" t="n"/>
    </row>
    <row r="971">
      <c r="A971" s="16" t="n"/>
    </row>
    <row r="972">
      <c r="A972" s="16" t="n"/>
    </row>
    <row r="973">
      <c r="A973" s="16" t="n"/>
    </row>
    <row r="974">
      <c r="A974" s="16" t="n"/>
    </row>
    <row r="975">
      <c r="A975" s="16" t="n"/>
    </row>
    <row r="976">
      <c r="A976" s="16" t="n"/>
    </row>
    <row r="977">
      <c r="A977" s="16" t="n"/>
    </row>
    <row r="978">
      <c r="A978" s="16" t="n"/>
    </row>
    <row r="979">
      <c r="A979" s="16" t="n"/>
    </row>
    <row r="980">
      <c r="A980" s="16" t="n"/>
    </row>
    <row r="981">
      <c r="A981" s="16" t="n"/>
    </row>
    <row r="982">
      <c r="A982" s="16" t="n"/>
    </row>
    <row r="983">
      <c r="A983" s="16" t="n"/>
    </row>
    <row r="984">
      <c r="A984" s="16" t="n"/>
    </row>
    <row r="985">
      <c r="A985" s="16" t="n"/>
    </row>
    <row r="986">
      <c r="A986" s="16" t="n"/>
    </row>
    <row r="987">
      <c r="A987" s="16" t="n"/>
    </row>
    <row r="988">
      <c r="A988" s="16" t="n"/>
    </row>
    <row r="989">
      <c r="A989" s="16" t="n"/>
    </row>
    <row r="990">
      <c r="A990" s="16" t="n"/>
    </row>
    <row r="991">
      <c r="A991" s="16" t="n"/>
    </row>
    <row r="992">
      <c r="A992" s="16" t="n"/>
    </row>
    <row r="993">
      <c r="A993" s="16" t="n"/>
    </row>
    <row r="994">
      <c r="A994" s="16" t="n"/>
    </row>
    <row r="995">
      <c r="A995" s="16" t="n"/>
    </row>
    <row r="996">
      <c r="A996" s="16" t="n"/>
    </row>
    <row r="997">
      <c r="A997" s="16" t="n"/>
    </row>
    <row r="998">
      <c r="A998" s="16" t="n"/>
    </row>
    <row r="999">
      <c r="A999" s="16" t="n"/>
    </row>
    <row r="1000">
      <c r="A1000" s="16" t="n"/>
    </row>
    <row r="1001">
      <c r="A1001" s="16" t="n"/>
    </row>
    <row r="1002">
      <c r="A1002" s="16" t="n"/>
    </row>
    <row r="1003">
      <c r="A1003" s="16" t="n"/>
    </row>
    <row r="1004">
      <c r="A1004" s="16" t="n"/>
    </row>
    <row r="1005">
      <c r="A1005" s="16" t="n"/>
    </row>
    <row r="1006">
      <c r="A1006" s="16" t="n"/>
    </row>
    <row r="1007">
      <c r="A1007" s="16" t="n"/>
    </row>
    <row r="1008">
      <c r="A1008" s="16" t="n"/>
    </row>
    <row r="1009">
      <c r="A1009" s="16" t="n"/>
    </row>
    <row r="1010">
      <c r="A1010" s="16" t="n"/>
    </row>
    <row r="1011">
      <c r="A1011" s="16" t="n"/>
    </row>
    <row r="1012">
      <c r="A1012" s="16" t="n"/>
    </row>
    <row r="1013">
      <c r="A1013" s="16" t="n"/>
    </row>
    <row r="1014">
      <c r="A1014" s="16" t="n"/>
    </row>
    <row r="1015">
      <c r="A1015" s="16" t="n"/>
    </row>
    <row r="1016">
      <c r="A1016" s="16" t="n"/>
    </row>
    <row r="1017">
      <c r="A1017" s="16" t="n"/>
    </row>
    <row r="1018">
      <c r="A1018" s="16" t="n"/>
    </row>
    <row r="1019">
      <c r="A1019" s="16" t="n"/>
    </row>
    <row r="1020">
      <c r="A1020" s="16" t="n"/>
    </row>
    <row r="1021">
      <c r="A1021" s="16" t="n"/>
    </row>
    <row r="1022">
      <c r="A1022" s="16" t="n"/>
    </row>
    <row r="1023">
      <c r="A1023" s="16" t="n"/>
    </row>
    <row r="1024">
      <c r="A1024" s="16" t="n"/>
    </row>
    <row r="1025">
      <c r="A1025" s="16" t="n"/>
    </row>
    <row r="1026">
      <c r="A1026" s="16" t="n"/>
    </row>
    <row r="1027">
      <c r="A1027" s="16" t="n"/>
    </row>
    <row r="1028">
      <c r="A1028" s="16" t="n"/>
    </row>
    <row r="1029">
      <c r="A1029" s="16" t="n"/>
    </row>
    <row r="1030">
      <c r="A1030" s="16" t="n"/>
    </row>
    <row r="1031">
      <c r="A1031" s="16" t="n"/>
    </row>
    <row r="1032">
      <c r="A1032" s="16" t="n"/>
    </row>
    <row r="1033">
      <c r="A1033" s="16" t="n"/>
    </row>
    <row r="1034">
      <c r="A1034" s="16" t="n"/>
    </row>
    <row r="1035">
      <c r="A1035" s="16" t="n"/>
    </row>
    <row r="1036">
      <c r="A1036" s="16" t="n"/>
    </row>
    <row r="1037">
      <c r="A1037" s="16" t="n"/>
    </row>
    <row r="1038">
      <c r="A1038" s="16" t="n"/>
    </row>
    <row r="1039">
      <c r="A1039" s="16" t="n"/>
    </row>
    <row r="1040">
      <c r="A1040" s="16" t="n"/>
    </row>
    <row r="1041">
      <c r="A1041" s="16" t="n"/>
    </row>
    <row r="1042">
      <c r="A1042" s="16" t="n"/>
    </row>
    <row r="1043">
      <c r="A1043" s="16" t="n"/>
    </row>
    <row r="1044">
      <c r="A1044" s="16" t="n"/>
    </row>
    <row r="1045">
      <c r="A1045" s="16" t="n"/>
    </row>
    <row r="1046">
      <c r="A1046" s="16" t="n"/>
    </row>
    <row r="1047">
      <c r="A1047" s="16" t="n"/>
    </row>
    <row r="1048">
      <c r="A1048" s="16" t="n"/>
    </row>
    <row r="1049">
      <c r="A1049" s="16" t="n"/>
    </row>
    <row r="1050">
      <c r="A1050" s="16" t="n"/>
    </row>
    <row r="1051">
      <c r="A1051" s="16" t="n"/>
    </row>
    <row r="1052">
      <c r="A1052" s="16" t="n"/>
    </row>
    <row r="1053">
      <c r="A1053" s="16" t="n"/>
    </row>
    <row r="1054">
      <c r="A1054" s="16" t="n"/>
    </row>
    <row r="1055">
      <c r="A1055" s="16" t="n"/>
    </row>
    <row r="1056">
      <c r="A1056" s="16" t="n"/>
    </row>
    <row r="1057">
      <c r="A1057" s="16" t="n"/>
    </row>
    <row r="1058">
      <c r="A1058" s="16" t="n"/>
    </row>
    <row r="1059">
      <c r="A1059" s="16" t="n"/>
    </row>
    <row r="1060">
      <c r="A1060" s="16" t="n"/>
    </row>
    <row r="1061">
      <c r="A1061" s="16" t="n"/>
    </row>
    <row r="1062">
      <c r="A1062" s="16" t="n"/>
    </row>
    <row r="1063">
      <c r="A1063" s="16" t="n"/>
    </row>
    <row r="1064">
      <c r="A1064" s="16" t="n"/>
    </row>
    <row r="1065">
      <c r="A1065" s="16" t="n"/>
    </row>
    <row r="1066">
      <c r="A1066" s="16" t="n"/>
    </row>
    <row r="1067">
      <c r="A1067" s="16" t="n"/>
    </row>
    <row r="1068">
      <c r="A1068" s="16" t="n"/>
    </row>
    <row r="1069">
      <c r="A1069" s="16" t="n"/>
    </row>
    <row r="1070">
      <c r="A1070" s="16" t="n"/>
    </row>
  </sheetData>
  <mergeCells count="6">
    <mergeCell ref="A267:D267"/>
    <mergeCell ref="A285:D285"/>
    <mergeCell ref="A257:D257"/>
    <mergeCell ref="A277:D277"/>
    <mergeCell ref="A46:D46"/>
    <mergeCell ref="A247:D2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27"/>
  <sheetViews>
    <sheetView workbookViewId="0">
      <selection activeCell="A1" sqref="A1"/>
    </sheetView>
  </sheetViews>
  <sheetFormatPr baseColWidth="8" defaultColWidth="12.63" defaultRowHeight="15.75" customHeight="1"/>
  <cols>
    <col width="27.63" customWidth="1" style="25" min="1" max="1"/>
    <col width="27.38" customWidth="1" style="25" min="2" max="2"/>
    <col width="20" customWidth="1" style="25" min="6" max="6"/>
    <col width="24.25" customWidth="1" style="25" min="9" max="9"/>
  </cols>
  <sheetData>
    <row r="1">
      <c r="A1" s="11" t="inlineStr">
        <is>
          <t>WEEK 1</t>
        </is>
      </c>
      <c r="B1" s="11" t="n"/>
      <c r="C1" s="11" t="n"/>
      <c r="D1" s="11" t="n"/>
    </row>
    <row r="2">
      <c r="A2" s="12" t="inlineStr">
        <is>
          <t>Day 1</t>
        </is>
      </c>
      <c r="B2" s="13" t="n"/>
      <c r="C2" s="13" t="n"/>
      <c r="D2" s="13" t="n"/>
      <c r="F2" s="4" t="inlineStr">
        <is>
          <t>Total Course Hours</t>
        </is>
      </c>
      <c r="G2" s="4">
        <f>D6+D10+D16+D20+D25+D29+D33+D35+D40-0.5+D46+D48+D53+D55+D59+D61+D65+D71+D78+D80+D84+D88+D93+D95+D99+D108+D115+D119+D124+D126+D130+D132+D136+D144</f>
        <v/>
      </c>
    </row>
    <row r="3">
      <c r="A3" s="4" t="inlineStr">
        <is>
          <t>Morning Block</t>
        </is>
      </c>
      <c r="B3" s="16" t="inlineStr">
        <is>
          <t>Ice Breaker &amp; Orientation</t>
        </is>
      </c>
      <c r="C3" s="4" t="n">
        <v>60</v>
      </c>
      <c r="D3" s="4">
        <f>C3/60</f>
        <v/>
      </c>
    </row>
    <row r="4">
      <c r="B4" s="16" t="inlineStr">
        <is>
          <t>Journey Onboarding</t>
        </is>
      </c>
      <c r="C4" s="4" t="n">
        <v>30</v>
      </c>
      <c r="D4" s="4">
        <f>C4/60</f>
        <v/>
      </c>
    </row>
    <row r="5">
      <c r="B5" s="16" t="inlineStr">
        <is>
          <t>Onboarding Survey</t>
        </is>
      </c>
      <c r="C5" s="4" t="n">
        <v>30</v>
      </c>
      <c r="D5" s="4">
        <f>C5/60</f>
        <v/>
      </c>
      <c r="F5" s="4" t="inlineStr">
        <is>
          <t>Remaining Hours</t>
        </is>
      </c>
      <c r="G5" s="4">
        <f>49-G2</f>
        <v/>
      </c>
    </row>
    <row r="6">
      <c r="D6" s="6">
        <f>SUM(D3:D5)</f>
        <v/>
      </c>
    </row>
    <row r="7">
      <c r="A7" s="15" t="inlineStr">
        <is>
          <t>Lunch</t>
        </is>
      </c>
    </row>
    <row r="8">
      <c r="A8" s="4" t="inlineStr">
        <is>
          <t>Afternoon Block</t>
        </is>
      </c>
      <c r="B8" s="4" t="inlineStr">
        <is>
          <t>Incubator Community Norm Setting</t>
        </is>
      </c>
      <c r="C8" s="4" t="n">
        <v>30</v>
      </c>
      <c r="D8" s="4">
        <f>C8/60</f>
        <v/>
      </c>
    </row>
    <row r="9">
      <c r="B9" s="4" t="inlineStr">
        <is>
          <t>Entrepreneurship Introduction</t>
        </is>
      </c>
      <c r="C9" s="4" t="n">
        <v>30</v>
      </c>
      <c r="D9" s="4">
        <f>C9/60</f>
        <v/>
      </c>
      <c r="F9" s="4" t="inlineStr">
        <is>
          <t>Week 1</t>
        </is>
      </c>
      <c r="G9" s="4" t="n">
        <v>13</v>
      </c>
    </row>
    <row r="10">
      <c r="D10" s="6">
        <f>SUM(D8:D9)</f>
        <v/>
      </c>
      <c r="F10" s="4" t="inlineStr">
        <is>
          <t>Week 2</t>
        </is>
      </c>
      <c r="G10" s="4">
        <f>D46+D48+D53+D55+D59+D61+D65+D71</f>
        <v/>
      </c>
    </row>
    <row r="11">
      <c r="A11" s="12" t="inlineStr">
        <is>
          <t>Day 2</t>
        </is>
      </c>
      <c r="B11" s="13" t="n"/>
      <c r="C11" s="13" t="n"/>
      <c r="D11" s="13" t="n"/>
      <c r="F11" s="4" t="inlineStr">
        <is>
          <t>Week 3</t>
        </is>
      </c>
      <c r="G11" s="4">
        <f>D78+D80+D84+D88+D93+D95+D99+D108</f>
        <v/>
      </c>
    </row>
    <row r="12">
      <c r="A12" s="4" t="inlineStr">
        <is>
          <t>Morning Block</t>
        </is>
      </c>
      <c r="B12" s="16" t="inlineStr">
        <is>
          <t>Entrepreneurship as Problem Solving &amp; Survey</t>
        </is>
      </c>
      <c r="C12" s="4" t="n">
        <v>45</v>
      </c>
      <c r="D12" s="4">
        <f>C12/60</f>
        <v/>
      </c>
      <c r="F12" s="4" t="inlineStr">
        <is>
          <t>Week 4</t>
        </is>
      </c>
      <c r="G12" s="4">
        <f>D115+D119+D124+D126+D130+D132+D136+D144</f>
        <v/>
      </c>
    </row>
    <row r="13">
      <c r="B13" s="16" t="inlineStr">
        <is>
          <t>Team Announcement</t>
        </is>
      </c>
      <c r="C13" s="4" t="n">
        <v>15</v>
      </c>
      <c r="D13" s="4">
        <f>C13/60</f>
        <v/>
      </c>
    </row>
    <row r="14">
      <c r="A14" s="16" t="n"/>
      <c r="B14" s="4" t="inlineStr">
        <is>
          <t>Your Entrepreneurial Profile</t>
        </is>
      </c>
      <c r="C14" s="4" t="n">
        <v>45</v>
      </c>
      <c r="D14" s="4">
        <f>C14/60</f>
        <v/>
      </c>
    </row>
    <row r="15">
      <c r="A15" s="16" t="n"/>
      <c r="B15" s="4" t="inlineStr">
        <is>
          <t>Startup Team Announcement</t>
        </is>
      </c>
      <c r="C15" s="4" t="n">
        <v>15</v>
      </c>
      <c r="D15" s="6">
        <f>C15/60</f>
        <v/>
      </c>
    </row>
    <row r="16">
      <c r="A16" s="16" t="n"/>
      <c r="B16" s="16" t="n"/>
      <c r="C16" s="16" t="n"/>
      <c r="D16" s="14">
        <f>SUM(D12:D15)</f>
        <v/>
      </c>
    </row>
    <row r="17">
      <c r="A17" s="15" t="inlineStr">
        <is>
          <t>Lunch</t>
        </is>
      </c>
    </row>
    <row r="18">
      <c r="A18" s="4" t="inlineStr">
        <is>
          <t>Afternoon Block</t>
        </is>
      </c>
      <c r="B18" s="16" t="inlineStr">
        <is>
          <t>The Startup Team - Startup Porfile &amp; Get to Know</t>
        </is>
      </c>
      <c r="C18" s="4" t="n">
        <v>30</v>
      </c>
      <c r="D18" s="4">
        <f>C18/60</f>
        <v/>
      </c>
    </row>
    <row r="19">
      <c r="B19" s="4" t="inlineStr">
        <is>
          <t>Team Agreements</t>
        </is>
      </c>
      <c r="C19" s="4" t="n">
        <v>30</v>
      </c>
      <c r="D19" s="4">
        <f>C19/60</f>
        <v/>
      </c>
    </row>
    <row r="20">
      <c r="A20" s="16" t="n"/>
      <c r="D20" s="6">
        <f>SUM(D18:D19)</f>
        <v/>
      </c>
    </row>
    <row r="21">
      <c r="A21" s="12" t="inlineStr">
        <is>
          <t>Day 3</t>
        </is>
      </c>
      <c r="B21" s="13" t="n"/>
      <c r="C21" s="13" t="n"/>
      <c r="D21" s="13" t="n"/>
    </row>
    <row r="22">
      <c r="A22" s="4" t="inlineStr">
        <is>
          <t>Morning Block</t>
        </is>
      </c>
      <c r="B22" s="4" t="inlineStr">
        <is>
          <t>Tech For Entrepreneurship</t>
        </is>
      </c>
      <c r="C22" s="4" t="n">
        <v>30</v>
      </c>
      <c r="D22" s="4">
        <f>C22/60</f>
        <v/>
      </c>
    </row>
    <row r="23">
      <c r="A23" s="16" t="n"/>
      <c r="B23" s="16" t="inlineStr">
        <is>
          <t>Social Innovation Challenge Intro &amp; Prep</t>
        </is>
      </c>
      <c r="C23" s="4" t="n">
        <v>30</v>
      </c>
      <c r="D23" s="4">
        <f>C23/60</f>
        <v/>
      </c>
    </row>
    <row r="24">
      <c r="B24" s="4" t="inlineStr">
        <is>
          <t>Social Innovation Challenge</t>
        </is>
      </c>
      <c r="C24" s="4" t="n">
        <v>60</v>
      </c>
      <c r="D24" s="4">
        <f>C24/60</f>
        <v/>
      </c>
    </row>
    <row r="25">
      <c r="A25" s="16" t="n"/>
      <c r="B25" s="16" t="n"/>
      <c r="C25" s="16" t="n"/>
      <c r="D25" s="14">
        <f>SUM(D22:D24)</f>
        <v/>
      </c>
    </row>
    <row r="26">
      <c r="A26" s="15" t="inlineStr">
        <is>
          <t>Lunch</t>
        </is>
      </c>
    </row>
    <row r="27">
      <c r="A27" s="4" t="inlineStr">
        <is>
          <t>Afternoon Block</t>
        </is>
      </c>
      <c r="B27" s="16" t="inlineStr">
        <is>
          <t>Starup Team Pitches</t>
        </is>
      </c>
      <c r="C27" s="4" t="n">
        <v>60</v>
      </c>
      <c r="D27" s="4">
        <f>C27/60</f>
        <v/>
      </c>
    </row>
    <row r="28">
      <c r="A28" s="16" t="n"/>
      <c r="B28" s="4" t="inlineStr">
        <is>
          <t>Judging</t>
        </is>
      </c>
      <c r="C28" s="4" t="n">
        <v>30</v>
      </c>
      <c r="D28" s="4">
        <f>C28/60</f>
        <v/>
      </c>
    </row>
    <row r="29">
      <c r="A29" s="16" t="n"/>
      <c r="D29" s="6">
        <f>D28+D27</f>
        <v/>
      </c>
    </row>
    <row r="30">
      <c r="A30" s="12" t="inlineStr">
        <is>
          <t>Day 4</t>
        </is>
      </c>
      <c r="B30" s="13" t="n"/>
      <c r="C30" s="13" t="n"/>
      <c r="D30" s="13" t="n"/>
    </row>
    <row r="31">
      <c r="A31" s="4" t="inlineStr">
        <is>
          <t>Morning Block</t>
        </is>
      </c>
      <c r="B31" s="16" t="inlineStr">
        <is>
          <t xml:space="preserve">Problem Analysis </t>
        </is>
      </c>
      <c r="C31" s="4" t="n">
        <v>60</v>
      </c>
      <c r="D31" s="4">
        <f>C31/60</f>
        <v/>
      </c>
    </row>
    <row r="32">
      <c r="B32" s="16" t="inlineStr">
        <is>
          <t>Problem Statement &amp; Vision Board</t>
        </is>
      </c>
      <c r="C32" s="4" t="n">
        <v>60</v>
      </c>
      <c r="D32" s="4">
        <f>C32/60</f>
        <v/>
      </c>
    </row>
    <row r="33">
      <c r="B33" s="16" t="n"/>
      <c r="C33" s="4" t="n"/>
      <c r="D33" s="6">
        <f>SUM(D31:D32)</f>
        <v/>
      </c>
    </row>
    <row r="34">
      <c r="A34" s="15" t="inlineStr">
        <is>
          <t>Lunch</t>
        </is>
      </c>
    </row>
    <row r="35">
      <c r="A35" s="4" t="inlineStr">
        <is>
          <t>Afternoon Block</t>
        </is>
      </c>
      <c r="B35" s="4" t="inlineStr">
        <is>
          <t>Stakeholder &amp; Systems Analysis</t>
        </is>
      </c>
      <c r="C35" s="4" t="n">
        <v>60</v>
      </c>
      <c r="D35" s="6">
        <f>C35/60</f>
        <v/>
      </c>
    </row>
    <row r="36">
      <c r="A36" s="12" t="inlineStr">
        <is>
          <t>Day 5</t>
        </is>
      </c>
      <c r="B36" s="13" t="n"/>
      <c r="C36" s="13" t="n"/>
      <c r="D36" s="13" t="n"/>
    </row>
    <row r="37">
      <c r="A37" s="4" t="inlineStr">
        <is>
          <t>Morning Block</t>
        </is>
      </c>
      <c r="B37" s="16" t="inlineStr">
        <is>
          <t>Guest Speaker &amp; Activities Block</t>
        </is>
      </c>
      <c r="C37" s="4" t="n">
        <v>120</v>
      </c>
    </row>
    <row r="38">
      <c r="A38" s="15" t="inlineStr">
        <is>
          <t>Lunch</t>
        </is>
      </c>
    </row>
    <row r="39">
      <c r="A39" s="4" t="inlineStr">
        <is>
          <t>Afternoon Block</t>
        </is>
      </c>
      <c r="B39" s="16" t="inlineStr">
        <is>
          <t>User Analysis</t>
        </is>
      </c>
      <c r="C39" s="4" t="n">
        <v>60</v>
      </c>
      <c r="D39" s="4">
        <f>C39/60</f>
        <v/>
      </c>
    </row>
    <row r="40">
      <c r="D40" s="6">
        <f>D39</f>
        <v/>
      </c>
    </row>
    <row r="41">
      <c r="A41" s="23" t="n"/>
      <c r="B41" s="23" t="n"/>
      <c r="C41" s="23" t="n"/>
      <c r="D41" s="23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>
      <c r="A42" s="11" t="inlineStr">
        <is>
          <t>WEEK 2</t>
        </is>
      </c>
      <c r="B42" s="11" t="n"/>
      <c r="C42" s="11" t="n"/>
      <c r="D42" s="11" t="n"/>
    </row>
    <row r="43">
      <c r="A43" s="12" t="inlineStr">
        <is>
          <t>Day 1</t>
        </is>
      </c>
      <c r="B43" s="13" t="n"/>
      <c r="C43" s="13" t="n"/>
      <c r="D43" s="13" t="n"/>
    </row>
    <row r="44">
      <c r="A44" s="4" t="inlineStr">
        <is>
          <t>Morning Block</t>
        </is>
      </c>
      <c r="B44" s="16" t="inlineStr">
        <is>
          <t>Intro to Design Thinking</t>
        </is>
      </c>
      <c r="C44" s="4" t="n">
        <v>60</v>
      </c>
      <c r="D44" s="4">
        <f>C44/60</f>
        <v/>
      </c>
    </row>
    <row r="45">
      <c r="B45" s="16" t="inlineStr">
        <is>
          <t xml:space="preserve">Empathy Intro &amp; Exercises </t>
        </is>
      </c>
      <c r="C45" s="4" t="n">
        <v>60</v>
      </c>
      <c r="D45" s="4">
        <f>C45/60</f>
        <v/>
      </c>
    </row>
    <row r="46">
      <c r="A46" s="16" t="n"/>
      <c r="B46" s="16" t="n"/>
      <c r="C46" s="16" t="n"/>
      <c r="D46" s="14">
        <f>D44+D45</f>
        <v/>
      </c>
    </row>
    <row r="47">
      <c r="A47" s="15" t="inlineStr">
        <is>
          <t>Lunch</t>
        </is>
      </c>
    </row>
    <row r="48">
      <c r="A48" s="4" t="inlineStr">
        <is>
          <t>Afternoon Block</t>
        </is>
      </c>
      <c r="B48" s="4" t="inlineStr">
        <is>
          <t>Customer Discovery Intro</t>
        </is>
      </c>
      <c r="C48" s="4" t="n">
        <v>60</v>
      </c>
      <c r="D48" s="6">
        <f>C48/60</f>
        <v/>
      </c>
    </row>
    <row r="49">
      <c r="A49" s="12" t="inlineStr">
        <is>
          <t>Day 2</t>
        </is>
      </c>
      <c r="B49" s="13" t="n"/>
      <c r="C49" s="13" t="n"/>
      <c r="D49" s="13" t="n"/>
    </row>
    <row r="50">
      <c r="A50" s="4" t="inlineStr">
        <is>
          <t>Morning Block</t>
        </is>
      </c>
      <c r="B50" s="4" t="inlineStr">
        <is>
          <t>Customer Question Drafting</t>
        </is>
      </c>
      <c r="C50" s="4" t="n">
        <v>45</v>
      </c>
      <c r="D50" s="4">
        <f>C51/60</f>
        <v/>
      </c>
    </row>
    <row r="51">
      <c r="A51" s="16" t="n"/>
      <c r="B51" s="16" t="inlineStr">
        <is>
          <t>Fieldwork Prep</t>
        </is>
      </c>
      <c r="C51" s="4" t="n">
        <v>45</v>
      </c>
      <c r="D51" s="4" t="n">
        <v>0.75</v>
      </c>
    </row>
    <row r="52">
      <c r="B52" s="16" t="inlineStr">
        <is>
          <t>Project Management Skills</t>
        </is>
      </c>
      <c r="C52" s="4" t="n">
        <v>30</v>
      </c>
      <c r="D52" s="4">
        <f>C52/60</f>
        <v/>
      </c>
    </row>
    <row r="53">
      <c r="D53" s="6" t="n">
        <v>2</v>
      </c>
    </row>
    <row r="54">
      <c r="A54" s="15" t="inlineStr">
        <is>
          <t>Lunch</t>
        </is>
      </c>
    </row>
    <row r="55">
      <c r="A55" s="4" t="inlineStr">
        <is>
          <t>Afternoon Block</t>
        </is>
      </c>
      <c r="B55" s="4" t="inlineStr">
        <is>
          <t>Street / Outreach Challenge</t>
        </is>
      </c>
      <c r="C55" s="4" t="n">
        <v>60</v>
      </c>
      <c r="D55" s="6" t="n">
        <v>1</v>
      </c>
    </row>
    <row r="56">
      <c r="A56" s="12" t="inlineStr">
        <is>
          <t>Day 3</t>
        </is>
      </c>
      <c r="B56" s="13" t="n"/>
      <c r="C56" s="13" t="n"/>
      <c r="D56" s="13" t="n"/>
    </row>
    <row r="57">
      <c r="A57" s="4" t="inlineStr">
        <is>
          <t>Morning Block</t>
        </is>
      </c>
      <c r="B57" s="16" t="inlineStr">
        <is>
          <t>Design Challenge - DT Refresher</t>
        </is>
      </c>
      <c r="C57" s="4" t="n">
        <v>60</v>
      </c>
      <c r="D57" s="4">
        <f>C57/60</f>
        <v/>
      </c>
    </row>
    <row r="58">
      <c r="B58" s="16" t="inlineStr">
        <is>
          <t>Define - Creating How Might We's</t>
        </is>
      </c>
      <c r="C58" s="4" t="n">
        <v>60</v>
      </c>
      <c r="D58" s="4">
        <f>C58/60</f>
        <v/>
      </c>
    </row>
    <row r="59">
      <c r="D59" s="6">
        <f>SUM(D57:D58)</f>
        <v/>
      </c>
    </row>
    <row r="60">
      <c r="A60" s="15" t="inlineStr">
        <is>
          <t>Lunch</t>
        </is>
      </c>
    </row>
    <row r="61">
      <c r="A61" s="4" t="inlineStr">
        <is>
          <t>Afternoon Block</t>
        </is>
      </c>
      <c r="B61" s="4" t="inlineStr">
        <is>
          <t>Interview / Community Engagement Work Time</t>
        </is>
      </c>
      <c r="C61" s="4" t="n">
        <v>60</v>
      </c>
      <c r="D61" s="6" t="n">
        <v>1</v>
      </c>
      <c r="H61" s="16" t="n"/>
    </row>
    <row r="62">
      <c r="A62" s="12" t="inlineStr">
        <is>
          <t>Day 4</t>
        </is>
      </c>
      <c r="B62" s="13" t="n"/>
      <c r="C62" s="13" t="n"/>
      <c r="D62" s="13" t="n"/>
    </row>
    <row r="63">
      <c r="A63" s="16" t="n"/>
      <c r="B63" s="16" t="inlineStr">
        <is>
          <t>Refining your HMW/Ideation Prep</t>
        </is>
      </c>
      <c r="C63" s="4" t="n">
        <v>60</v>
      </c>
      <c r="D63" s="4">
        <f>C63/60</f>
        <v/>
      </c>
      <c r="H63" s="16" t="n"/>
      <c r="I63" s="16" t="n"/>
    </row>
    <row r="64">
      <c r="B64" s="4" t="inlineStr">
        <is>
          <t>Ideation Brainstorm</t>
        </is>
      </c>
      <c r="C64" s="4" t="n">
        <v>60</v>
      </c>
      <c r="D64" s="4" t="n">
        <v>1</v>
      </c>
    </row>
    <row r="65">
      <c r="A65" s="16" t="n"/>
      <c r="B65" s="16" t="n"/>
      <c r="C65" s="16" t="n"/>
      <c r="D65" s="14">
        <f>SUM(D63:D64)</f>
        <v/>
      </c>
      <c r="H65" s="16" t="n"/>
      <c r="I65" s="16" t="n"/>
    </row>
    <row r="66">
      <c r="A66" s="15" t="n"/>
      <c r="B66" s="15" t="n"/>
      <c r="C66" s="15" t="n"/>
      <c r="D66" s="15" t="n"/>
      <c r="H66" s="16" t="n"/>
      <c r="I66" s="16" t="n"/>
    </row>
    <row r="67">
      <c r="A67" s="4" t="inlineStr">
        <is>
          <t>Afternoon Block</t>
        </is>
      </c>
      <c r="B67" s="16" t="inlineStr">
        <is>
          <t>Mentorship or Site Visit</t>
        </is>
      </c>
      <c r="C67" s="4" t="n">
        <v>180</v>
      </c>
    </row>
    <row r="68">
      <c r="A68" s="12" t="inlineStr">
        <is>
          <t>Day 5</t>
        </is>
      </c>
      <c r="B68" s="13" t="n"/>
      <c r="C68" s="13" t="n"/>
      <c r="D68" s="13" t="n"/>
    </row>
    <row r="69">
      <c r="A69" s="4" t="inlineStr">
        <is>
          <t>Morning Block</t>
        </is>
      </c>
      <c r="B69" s="16" t="inlineStr">
        <is>
          <t>Guest Speaker &amp; Activities Block</t>
        </is>
      </c>
      <c r="C69" s="4" t="n">
        <v>120</v>
      </c>
      <c r="H69" s="16" t="n"/>
      <c r="I69" s="16" t="n"/>
    </row>
    <row r="70">
      <c r="A70" s="15" t="inlineStr">
        <is>
          <t>Lunch</t>
        </is>
      </c>
      <c r="I70" s="16" t="n"/>
    </row>
    <row r="71">
      <c r="B71" s="16" t="inlineStr">
        <is>
          <t>Lightning Demo</t>
        </is>
      </c>
      <c r="C71" s="4" t="n">
        <v>60</v>
      </c>
      <c r="D71" s="6">
        <f>C71/60</f>
        <v/>
      </c>
    </row>
    <row r="72">
      <c r="A72" s="16" t="n"/>
    </row>
    <row r="73">
      <c r="A73" s="23" t="n"/>
      <c r="B73" s="23" t="n"/>
      <c r="C73" s="23" t="n"/>
      <c r="D73" s="23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>
      <c r="A74" s="11" t="inlineStr">
        <is>
          <t>WEEK 3</t>
        </is>
      </c>
      <c r="B74" s="11" t="n"/>
      <c r="C74" s="11" t="n"/>
      <c r="D74" s="11" t="n"/>
    </row>
    <row r="75">
      <c r="A75" s="12" t="inlineStr">
        <is>
          <t>Day 1</t>
        </is>
      </c>
      <c r="B75" s="13" t="n"/>
      <c r="C75" s="13" t="n"/>
      <c r="D75" s="13" t="n"/>
    </row>
    <row r="76">
      <c r="A76" s="4" t="inlineStr">
        <is>
          <t>Morning Block</t>
        </is>
      </c>
      <c r="B76" s="16" t="inlineStr">
        <is>
          <t>Analysis + Round 2 Ideation + Community Ideas Sourcing</t>
        </is>
      </c>
      <c r="C76" s="4" t="n">
        <v>60</v>
      </c>
      <c r="D76" s="4">
        <f>C76/60</f>
        <v/>
      </c>
    </row>
    <row r="77">
      <c r="A77" s="6" t="n"/>
      <c r="B77" s="16" t="inlineStr">
        <is>
          <t>Competitive Analysis</t>
        </is>
      </c>
      <c r="C77" s="4" t="n">
        <v>60</v>
      </c>
      <c r="D77" s="4">
        <f>C77/60</f>
        <v/>
      </c>
    </row>
    <row r="78">
      <c r="A78" s="6" t="n"/>
      <c r="B78" s="6" t="n"/>
      <c r="C78" s="6" t="n"/>
      <c r="D78" s="6">
        <f>SUM(D76:D77)</f>
        <v/>
      </c>
    </row>
    <row r="79">
      <c r="A79" s="15" t="inlineStr">
        <is>
          <t>Lunch</t>
        </is>
      </c>
    </row>
    <row r="80">
      <c r="A80" s="16" t="n"/>
      <c r="B80" s="4" t="inlineStr">
        <is>
          <t>Solution Definition - First Sketch</t>
        </is>
      </c>
      <c r="C80" s="4" t="n">
        <v>60</v>
      </c>
      <c r="D80" s="6">
        <f>C80/60</f>
        <v/>
      </c>
    </row>
    <row r="81">
      <c r="A81" s="12" t="inlineStr">
        <is>
          <t>Day 2</t>
        </is>
      </c>
      <c r="B81" s="13" t="n"/>
      <c r="C81" s="13" t="n"/>
      <c r="D81" s="13" t="n"/>
    </row>
    <row r="82">
      <c r="A82" s="4" t="inlineStr">
        <is>
          <t>Morning Block</t>
        </is>
      </c>
      <c r="B82" s="16" t="inlineStr">
        <is>
          <t xml:space="preserve">Team Solutionizing </t>
        </is>
      </c>
      <c r="C82" s="4" t="n">
        <v>60</v>
      </c>
      <c r="D82" s="4">
        <f>C82/60</f>
        <v/>
      </c>
    </row>
    <row r="83">
      <c r="B83" s="16" t="inlineStr">
        <is>
          <t>Final Team Solution Definition</t>
        </is>
      </c>
      <c r="C83" s="4" t="n">
        <v>60</v>
      </c>
      <c r="D83" s="4">
        <f>C83/60</f>
        <v/>
      </c>
    </row>
    <row r="84">
      <c r="D84" s="6">
        <f>SUM(D82:D83)</f>
        <v/>
      </c>
    </row>
    <row r="85">
      <c r="A85" s="15" t="inlineStr">
        <is>
          <t>Lunch</t>
        </is>
      </c>
    </row>
    <row r="86">
      <c r="B86" s="16" t="inlineStr">
        <is>
          <t>Reflection &amp; Mid Course Check In</t>
        </is>
      </c>
      <c r="C86" s="4" t="n">
        <v>30</v>
      </c>
      <c r="D86" s="4">
        <f>C86/60</f>
        <v/>
      </c>
    </row>
    <row r="87">
      <c r="B87" s="16" t="inlineStr">
        <is>
          <t>Complete Midway Survey</t>
        </is>
      </c>
      <c r="C87" s="4" t="n">
        <v>30</v>
      </c>
      <c r="D87" s="4">
        <f>C87/60</f>
        <v/>
      </c>
    </row>
    <row r="88">
      <c r="B88" s="16" t="n"/>
      <c r="C88" s="4" t="n"/>
      <c r="D88" s="6">
        <f>SUM(D85:D87)</f>
        <v/>
      </c>
    </row>
    <row r="89">
      <c r="A89" s="12" t="inlineStr">
        <is>
          <t>Day 3</t>
        </is>
      </c>
      <c r="B89" s="13" t="n"/>
      <c r="C89" s="13" t="n"/>
      <c r="D89" s="13" t="n"/>
    </row>
    <row r="90">
      <c r="A90" s="4" t="inlineStr">
        <is>
          <t>Morning Block</t>
        </is>
      </c>
      <c r="B90" s="16" t="inlineStr">
        <is>
          <t>Prototyping Introduction &amp; Challenge</t>
        </is>
      </c>
      <c r="C90" s="4" t="n">
        <v>60</v>
      </c>
      <c r="D90" s="4">
        <f>C90/60</f>
        <v/>
      </c>
    </row>
    <row r="91">
      <c r="A91" s="16" t="n"/>
      <c r="B91" s="16" t="inlineStr">
        <is>
          <t>Traction &amp; Testing Introduction</t>
        </is>
      </c>
      <c r="C91" s="4" t="n">
        <v>30</v>
      </c>
      <c r="D91" s="4">
        <f>C91/60</f>
        <v/>
      </c>
    </row>
    <row r="92">
      <c r="A92" s="16" t="n"/>
      <c r="B92" s="4" t="inlineStr">
        <is>
          <t>Build &amp; Outreach Worktime</t>
        </is>
      </c>
      <c r="C92" s="4" t="n">
        <v>30</v>
      </c>
      <c r="D92" s="4">
        <f>C92/60</f>
        <v/>
      </c>
    </row>
    <row r="93">
      <c r="A93" s="16" t="n"/>
      <c r="B93" s="4" t="n"/>
      <c r="C93" s="4" t="n"/>
      <c r="D93" s="6">
        <f>SUM(D90:D92)</f>
        <v/>
      </c>
    </row>
    <row r="94">
      <c r="A94" s="15" t="inlineStr">
        <is>
          <t>Lunch</t>
        </is>
      </c>
    </row>
    <row r="95">
      <c r="B95" s="16" t="inlineStr">
        <is>
          <t>Business Modeling</t>
        </is>
      </c>
      <c r="C95" s="4" t="n">
        <v>60</v>
      </c>
      <c r="D95" s="6">
        <f>C95/60</f>
        <v/>
      </c>
    </row>
    <row r="96">
      <c r="A96" s="12" t="inlineStr">
        <is>
          <t>Day 4</t>
        </is>
      </c>
      <c r="B96" s="13" t="n"/>
      <c r="C96" s="13" t="n"/>
      <c r="D96" s="13" t="n"/>
    </row>
    <row r="97">
      <c r="A97" s="4" t="inlineStr">
        <is>
          <t>Morning Block</t>
        </is>
      </c>
      <c r="B97" s="16" t="inlineStr">
        <is>
          <t xml:space="preserve">Business Model Assumptions &amp; Testing </t>
        </is>
      </c>
      <c r="C97" s="4" t="n">
        <v>60</v>
      </c>
      <c r="D97" s="4">
        <f>C97/60</f>
        <v/>
      </c>
    </row>
    <row r="98">
      <c r="A98" s="16" t="n"/>
      <c r="B98" s="16" t="inlineStr">
        <is>
          <t>Lean Startup &amp; Tetsing Introduction</t>
        </is>
      </c>
      <c r="C98" s="16" t="n">
        <v>60</v>
      </c>
      <c r="D98" s="16" t="n">
        <v>1</v>
      </c>
    </row>
    <row r="99">
      <c r="A99" s="16" t="n"/>
      <c r="B99" s="16" t="n"/>
      <c r="C99" s="16" t="n"/>
      <c r="D99" s="14">
        <f>SUM(D97:D98)</f>
        <v/>
      </c>
    </row>
    <row r="100">
      <c r="A100" s="15" t="inlineStr">
        <is>
          <t>Lunch</t>
        </is>
      </c>
    </row>
    <row r="101">
      <c r="A101" s="4" t="inlineStr">
        <is>
          <t>Afternoon Block</t>
        </is>
      </c>
      <c r="B101" s="16" t="inlineStr">
        <is>
          <t>Mentorship or Site Visit</t>
        </is>
      </c>
      <c r="C101" s="4" t="n">
        <v>180</v>
      </c>
    </row>
    <row r="102">
      <c r="D102" s="6" t="n"/>
    </row>
    <row r="103">
      <c r="A103" s="12" t="inlineStr">
        <is>
          <t>Day 5</t>
        </is>
      </c>
      <c r="B103" s="13" t="n"/>
      <c r="C103" s="13" t="n"/>
      <c r="D103" s="13" t="n"/>
    </row>
    <row r="104">
      <c r="A104" s="4" t="inlineStr">
        <is>
          <t>Morning Block</t>
        </is>
      </c>
      <c r="B104" s="16" t="inlineStr">
        <is>
          <t>Guest Speaker &amp; Activities Block</t>
        </is>
      </c>
      <c r="C104" s="4" t="n">
        <v>120</v>
      </c>
    </row>
    <row r="105">
      <c r="A105" s="15" t="inlineStr">
        <is>
          <t>Lunch</t>
        </is>
      </c>
    </row>
    <row r="106">
      <c r="A106" s="4" t="inlineStr">
        <is>
          <t>Afternoon Block</t>
        </is>
      </c>
      <c r="B106" s="16" t="inlineStr">
        <is>
          <t>MVP Creation &amp; Work Time</t>
        </is>
      </c>
      <c r="C106" s="4" t="n">
        <v>45</v>
      </c>
      <c r="D106" s="4">
        <f>C106/60</f>
        <v/>
      </c>
    </row>
    <row r="107">
      <c r="B107" s="16" t="inlineStr">
        <is>
          <t>Make a Strategy for Weekend Outreach</t>
        </is>
      </c>
      <c r="C107" s="4" t="n">
        <v>15</v>
      </c>
      <c r="D107" s="4">
        <f>C107/60</f>
        <v/>
      </c>
    </row>
    <row r="108">
      <c r="B108" s="16" t="n"/>
      <c r="C108" s="4" t="n"/>
      <c r="D108" s="6">
        <f>SUM(D106:D107)</f>
        <v/>
      </c>
    </row>
    <row r="109">
      <c r="A109" s="23" t="n"/>
      <c r="B109" s="23" t="n"/>
      <c r="C109" s="23" t="n"/>
      <c r="D109" s="23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>
      <c r="A110" s="11" t="inlineStr">
        <is>
          <t>WEEK 4</t>
        </is>
      </c>
      <c r="B110" s="11" t="n"/>
      <c r="C110" s="11" t="n"/>
      <c r="D110" s="11" t="n"/>
    </row>
    <row r="111">
      <c r="A111" s="12" t="inlineStr">
        <is>
          <t>Day 1</t>
        </is>
      </c>
      <c r="B111" s="13" t="n"/>
      <c r="C111" s="13" t="n"/>
      <c r="D111" s="13" t="n"/>
    </row>
    <row r="112">
      <c r="A112" s="4" t="inlineStr">
        <is>
          <t>Morning Block</t>
        </is>
      </c>
      <c r="B112" s="16" t="inlineStr">
        <is>
          <t>Project Management &amp; Leadership Skills</t>
        </is>
      </c>
      <c r="C112" s="4" t="n">
        <v>30</v>
      </c>
      <c r="D112" s="4">
        <f>C112/60</f>
        <v/>
      </c>
    </row>
    <row r="113">
      <c r="A113" s="16" t="n"/>
      <c r="B113" s="4" t="inlineStr">
        <is>
          <t>Market &amp; Industry Analysis</t>
        </is>
      </c>
      <c r="C113" s="4" t="n">
        <v>45</v>
      </c>
      <c r="D113" s="4">
        <f>C174/60</f>
        <v/>
      </c>
    </row>
    <row r="114">
      <c r="B114" s="4" t="inlineStr">
        <is>
          <t>Competitive Analysis</t>
        </is>
      </c>
      <c r="C114" s="4" t="n">
        <v>30</v>
      </c>
      <c r="D114" s="4">
        <f>C114/60</f>
        <v/>
      </c>
    </row>
    <row r="115">
      <c r="A115" s="16" t="n"/>
      <c r="B115" s="16" t="n"/>
      <c r="D115" s="6">
        <f>SUM(D112:D114)</f>
        <v/>
      </c>
    </row>
    <row r="116">
      <c r="A116" s="15" t="inlineStr">
        <is>
          <t>Lunch</t>
        </is>
      </c>
    </row>
    <row r="117">
      <c r="B117" s="16" t="inlineStr">
        <is>
          <t>Feedback Interpretation &amp; Pivoting</t>
        </is>
      </c>
      <c r="C117" s="4" t="n">
        <v>30</v>
      </c>
      <c r="D117" s="4">
        <f>C117/60</f>
        <v/>
      </c>
    </row>
    <row r="118">
      <c r="B118" s="16" t="inlineStr">
        <is>
          <t>MVP Build &amp; Test Work Time</t>
        </is>
      </c>
      <c r="C118" s="4" t="n">
        <v>30</v>
      </c>
      <c r="D118" s="4">
        <f>C118/60</f>
        <v/>
      </c>
    </row>
    <row r="119">
      <c r="B119" s="16" t="n"/>
      <c r="C119" s="4" t="n"/>
      <c r="D119" s="6">
        <f>SUM(D117:D118)</f>
        <v/>
      </c>
    </row>
    <row r="120">
      <c r="A120" s="12" t="inlineStr">
        <is>
          <t>Day 2</t>
        </is>
      </c>
      <c r="B120" s="13" t="n"/>
      <c r="C120" s="13" t="n"/>
      <c r="D120" s="13" t="n"/>
    </row>
    <row r="121">
      <c r="A121" s="4" t="inlineStr">
        <is>
          <t>Afternoon Block</t>
        </is>
      </c>
      <c r="B121" s="16" t="inlineStr">
        <is>
          <t>Costing your Startup</t>
        </is>
      </c>
      <c r="C121" s="4" t="n">
        <v>45</v>
      </c>
      <c r="D121" s="4">
        <f>C121/60</f>
        <v/>
      </c>
    </row>
    <row r="122">
      <c r="A122" s="16" t="n"/>
      <c r="B122" s="16" t="inlineStr">
        <is>
          <t>Revenue Models &amp; Pricing</t>
        </is>
      </c>
      <c r="C122" s="4" t="n">
        <v>45</v>
      </c>
      <c r="D122" s="4">
        <f>C122/60</f>
        <v/>
      </c>
    </row>
    <row r="123">
      <c r="A123" s="16" t="n"/>
      <c r="B123" s="16" t="inlineStr">
        <is>
          <t>Startup Budgeting</t>
        </is>
      </c>
      <c r="C123" s="4" t="n">
        <v>30</v>
      </c>
      <c r="D123" s="4">
        <f>C123/60</f>
        <v/>
      </c>
    </row>
    <row r="124">
      <c r="A124" s="16" t="n"/>
      <c r="D124" s="6">
        <f>SUM(D121:D123)</f>
        <v/>
      </c>
    </row>
    <row r="125">
      <c r="A125" s="15" t="inlineStr">
        <is>
          <t>Lunch</t>
        </is>
      </c>
    </row>
    <row r="126">
      <c r="A126" s="4" t="inlineStr">
        <is>
          <t>Afternoon Block</t>
        </is>
      </c>
      <c r="B126" s="16" t="inlineStr">
        <is>
          <t>Startup Accounting &amp; Financials</t>
        </is>
      </c>
      <c r="C126" s="4" t="n">
        <v>60</v>
      </c>
      <c r="D126" s="6">
        <f>C126/60</f>
        <v/>
      </c>
    </row>
    <row r="127">
      <c r="A127" s="12" t="inlineStr">
        <is>
          <t>Day 3</t>
        </is>
      </c>
      <c r="B127" s="13" t="n"/>
      <c r="C127" s="13" t="n"/>
      <c r="D127" s="13" t="n"/>
    </row>
    <row r="128">
      <c r="A128" s="4" t="inlineStr">
        <is>
          <t>Morning Block</t>
        </is>
      </c>
      <c r="B128" s="4" t="inlineStr">
        <is>
          <t>Financial Projections &amp; Break Even</t>
        </is>
      </c>
      <c r="C128" s="4" t="n">
        <v>60</v>
      </c>
      <c r="D128" s="4">
        <f>C128/60</f>
        <v/>
      </c>
    </row>
    <row r="129">
      <c r="A129" s="16" t="n"/>
      <c r="B129" s="16" t="inlineStr">
        <is>
          <t>Entrepreneurial Fundraising Introduction</t>
        </is>
      </c>
      <c r="C129" s="4" t="n">
        <v>60</v>
      </c>
      <c r="D129" s="4">
        <f>C129/60</f>
        <v/>
      </c>
    </row>
    <row r="130">
      <c r="A130" s="16" t="n"/>
      <c r="B130" s="16" t="n"/>
      <c r="C130" s="4" t="n"/>
      <c r="D130" s="6">
        <f>SUM(D128:D129)</f>
        <v/>
      </c>
    </row>
    <row r="131">
      <c r="A131" s="15" t="inlineStr">
        <is>
          <t>Lunch</t>
        </is>
      </c>
    </row>
    <row r="132">
      <c r="B132" s="16" t="inlineStr">
        <is>
          <t>Startup Communication Tools</t>
        </is>
      </c>
      <c r="C132" s="4" t="n">
        <v>60</v>
      </c>
      <c r="D132" s="6">
        <f>C132/60</f>
        <v/>
      </c>
    </row>
    <row r="133">
      <c r="A133" s="12" t="inlineStr">
        <is>
          <t>Day 4</t>
        </is>
      </c>
      <c r="B133" s="13" t="n"/>
      <c r="C133" s="13" t="n"/>
      <c r="D133" s="13" t="n"/>
    </row>
    <row r="134">
      <c r="B134" s="16" t="inlineStr">
        <is>
          <t>Pitch Introduction</t>
        </is>
      </c>
      <c r="C134" s="4" t="n">
        <v>60</v>
      </c>
      <c r="D134" s="4">
        <f>C134/60</f>
        <v/>
      </c>
    </row>
    <row r="135">
      <c r="A135" s="16" t="n"/>
      <c r="B135" s="16" t="inlineStr">
        <is>
          <t>Pitch Template Introduction</t>
        </is>
      </c>
      <c r="C135" s="4" t="n">
        <v>60</v>
      </c>
      <c r="D135" s="4">
        <f>C135/60</f>
        <v/>
      </c>
    </row>
    <row r="136">
      <c r="A136" s="16" t="n"/>
      <c r="B136" s="16" t="n"/>
      <c r="C136" s="4" t="n"/>
      <c r="D136" s="6">
        <f>SUM(D134:D135)</f>
        <v/>
      </c>
    </row>
    <row r="137">
      <c r="A137" s="15" t="inlineStr">
        <is>
          <t>Lunch</t>
        </is>
      </c>
    </row>
    <row r="138">
      <c r="A138" s="4" t="inlineStr">
        <is>
          <t>Afternoon Block</t>
        </is>
      </c>
      <c r="B138" s="16" t="inlineStr">
        <is>
          <t>Mentorship or Site Visit</t>
        </is>
      </c>
      <c r="C138" s="4" t="n">
        <v>180</v>
      </c>
    </row>
    <row r="139">
      <c r="A139" s="12" t="inlineStr">
        <is>
          <t>Day 5</t>
        </is>
      </c>
      <c r="B139" s="13" t="n"/>
      <c r="C139" s="13" t="n"/>
      <c r="D139" s="13" t="n"/>
    </row>
    <row r="140">
      <c r="A140" s="4" t="inlineStr">
        <is>
          <t>Morning Block</t>
        </is>
      </c>
      <c r="B140" s="16" t="inlineStr">
        <is>
          <t>Guest Speaker &amp; Activities Block</t>
        </is>
      </c>
      <c r="C140" s="4" t="n">
        <v>120</v>
      </c>
    </row>
    <row r="141">
      <c r="A141" s="15" t="inlineStr">
        <is>
          <t>Lunch</t>
        </is>
      </c>
    </row>
    <row r="142">
      <c r="B142" s="4" t="inlineStr">
        <is>
          <t>Project Management Review</t>
        </is>
      </c>
      <c r="C142" s="4" t="n">
        <v>30</v>
      </c>
      <c r="D142" s="4">
        <f>C142/60</f>
        <v/>
      </c>
    </row>
    <row r="143">
      <c r="A143" s="16" t="n"/>
      <c r="B143" s="4" t="inlineStr">
        <is>
          <t>Finak Pitch Work Time</t>
        </is>
      </c>
      <c r="C143" s="4" t="n">
        <v>30</v>
      </c>
      <c r="D143" s="4">
        <f>C143/60</f>
        <v/>
      </c>
    </row>
    <row r="144">
      <c r="D144" s="6">
        <f>SUM(D137:D143)</f>
        <v/>
      </c>
    </row>
    <row r="145">
      <c r="H145" s="16" t="n"/>
      <c r="I145" s="16" t="n"/>
    </row>
    <row r="146">
      <c r="H146" s="16" t="n"/>
    </row>
    <row r="147">
      <c r="H147" s="16" t="n"/>
      <c r="K147" s="6" t="n"/>
    </row>
    <row r="152">
      <c r="A152" s="16" t="n"/>
    </row>
    <row r="153">
      <c r="B153" s="16" t="n"/>
    </row>
    <row r="154">
      <c r="D154" s="6" t="n"/>
    </row>
    <row r="156">
      <c r="A156" s="16" t="n"/>
    </row>
    <row r="157">
      <c r="A157" s="16" t="n"/>
      <c r="D157" s="6" t="n"/>
    </row>
    <row r="158">
      <c r="A158" s="16" t="n"/>
    </row>
    <row r="159">
      <c r="A159" s="16" t="n"/>
      <c r="D159" s="6" t="n"/>
    </row>
    <row r="160">
      <c r="A160" s="16" t="n"/>
    </row>
    <row r="161">
      <c r="A161" s="16" t="n"/>
      <c r="B161" s="16" t="n"/>
    </row>
    <row r="162">
      <c r="A162" s="16" t="n"/>
    </row>
    <row r="163">
      <c r="B163" s="16" t="n"/>
    </row>
    <row r="164">
      <c r="D164" s="6" t="n"/>
    </row>
    <row r="165">
      <c r="A165" s="16" t="n"/>
    </row>
    <row r="166">
      <c r="A166" s="16" t="n"/>
      <c r="D166" s="6" t="n"/>
    </row>
    <row r="167">
      <c r="A167" s="16" t="n"/>
    </row>
    <row r="168">
      <c r="A168" s="16" t="n"/>
    </row>
    <row r="169">
      <c r="A169" s="16" t="n"/>
    </row>
    <row r="171">
      <c r="D171" s="6" t="n"/>
    </row>
    <row r="172">
      <c r="A172" s="4" t="inlineStr">
        <is>
          <t>Afternoon Block</t>
        </is>
      </c>
    </row>
    <row r="173">
      <c r="A173" s="16" t="n"/>
      <c r="B173" s="4" t="inlineStr">
        <is>
          <t>Project Management Challenge</t>
        </is>
      </c>
      <c r="C173" s="4" t="n">
        <v>30</v>
      </c>
      <c r="D173" s="4">
        <f>C173/60</f>
        <v/>
      </c>
    </row>
    <row r="174">
      <c r="A174" s="16" t="n"/>
      <c r="B174" s="16" t="inlineStr">
        <is>
          <t>MVP Build &amp; Test Work Time</t>
        </is>
      </c>
      <c r="C174" s="4" t="n">
        <v>60</v>
      </c>
      <c r="D174" s="4">
        <f>C113/60</f>
        <v/>
      </c>
    </row>
    <row r="175">
      <c r="A175" s="16" t="n"/>
      <c r="D175" s="6">
        <f>SUM(D172:D174)</f>
        <v/>
      </c>
    </row>
    <row r="176">
      <c r="D176" s="6">
        <f>SUM(D117)</f>
        <v/>
      </c>
    </row>
    <row r="177">
      <c r="A177" s="4" t="inlineStr">
        <is>
          <t>Afternoon Block</t>
        </is>
      </c>
    </row>
    <row r="178">
      <c r="A178" s="4" t="inlineStr">
        <is>
          <t>Afternoon Block</t>
        </is>
      </c>
      <c r="B178" s="16" t="inlineStr">
        <is>
          <t>MVP Build &amp; Test Work Time</t>
        </is>
      </c>
      <c r="C178" s="4" t="n">
        <v>45</v>
      </c>
      <c r="D178" s="4">
        <f>C178/60</f>
        <v/>
      </c>
    </row>
    <row r="179">
      <c r="A179" s="16" t="n"/>
      <c r="B179" s="16" t="inlineStr">
        <is>
          <t>Fundraising Challenge</t>
        </is>
      </c>
      <c r="C179" s="4" t="n">
        <v>45</v>
      </c>
      <c r="D179" s="4">
        <f>C179/60</f>
        <v/>
      </c>
    </row>
    <row r="180">
      <c r="A180" s="16" t="n"/>
      <c r="D180" s="6">
        <f>SUM(D178:D179)</f>
        <v/>
      </c>
    </row>
    <row r="181">
      <c r="A181" s="16" t="n"/>
    </row>
    <row r="182">
      <c r="D182" s="6">
        <f>SUM(D132:D181)</f>
        <v/>
      </c>
    </row>
    <row r="183">
      <c r="A183" s="16" t="n"/>
      <c r="B183" s="16" t="n"/>
    </row>
    <row r="184">
      <c r="A184" s="16" t="n"/>
    </row>
    <row r="185">
      <c r="B185" s="16" t="n"/>
    </row>
    <row r="186">
      <c r="D186" s="6" t="n"/>
    </row>
    <row r="187">
      <c r="A187" s="4" t="inlineStr">
        <is>
          <t>Afternoon Block</t>
        </is>
      </c>
      <c r="B187" s="16" t="inlineStr">
        <is>
          <t>Project Management &amp; Leadership Skills</t>
        </is>
      </c>
      <c r="C187" s="4" t="n">
        <v>45</v>
      </c>
      <c r="D187" s="4">
        <f>C187/60</f>
        <v/>
      </c>
    </row>
    <row r="188">
      <c r="A188" s="16" t="n"/>
      <c r="B188" s="16" t="inlineStr">
        <is>
          <t>MVP Testing Worktime</t>
        </is>
      </c>
      <c r="C188" s="4" t="n">
        <v>45</v>
      </c>
      <c r="D188" s="4">
        <f>C188/60</f>
        <v/>
      </c>
    </row>
    <row r="189">
      <c r="A189" s="16" t="n"/>
      <c r="B189" s="16" t="inlineStr">
        <is>
          <t>Pitch Template Introduction</t>
        </is>
      </c>
      <c r="C189" s="4" t="n">
        <v>60</v>
      </c>
      <c r="D189" s="4">
        <f>C189/60</f>
        <v/>
      </c>
    </row>
    <row r="190">
      <c r="A190" s="16" t="n"/>
      <c r="B190" s="16" t="n"/>
      <c r="D190" s="4">
        <f>C190/60</f>
        <v/>
      </c>
    </row>
    <row r="191">
      <c r="A191" s="16" t="n"/>
    </row>
    <row r="192">
      <c r="A192" s="16" t="n"/>
      <c r="D192" s="6">
        <f>SUM(D187:D191)</f>
        <v/>
      </c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1" t="inlineStr">
        <is>
          <t>WEEK 3</t>
        </is>
      </c>
      <c r="B197" s="11" t="n"/>
      <c r="C197" s="11" t="n"/>
      <c r="D197" s="11" t="n"/>
    </row>
    <row r="198">
      <c r="A198" s="12" t="inlineStr">
        <is>
          <t>Day 1</t>
        </is>
      </c>
      <c r="B198" s="13" t="n"/>
      <c r="C198" s="13" t="n"/>
      <c r="D198" s="13" t="n"/>
    </row>
    <row r="199">
      <c r="A199" s="4" t="inlineStr">
        <is>
          <t>Morning Block</t>
        </is>
      </c>
      <c r="B199" s="16" t="inlineStr">
        <is>
          <t>Reflection &amp; Mid Course Check In</t>
        </is>
      </c>
      <c r="C199" s="4" t="n">
        <v>60</v>
      </c>
      <c r="D199" s="4">
        <f>C199/60</f>
        <v/>
      </c>
    </row>
    <row r="200">
      <c r="B200" s="16" t="inlineStr">
        <is>
          <t>Complete Midway Survey</t>
        </is>
      </c>
      <c r="C200" s="4" t="n">
        <v>45</v>
      </c>
      <c r="D200" s="4">
        <f>C200/60</f>
        <v/>
      </c>
    </row>
    <row r="201">
      <c r="B201" s="16" t="inlineStr">
        <is>
          <t>Project Management &amp; Leadership Skills</t>
        </is>
      </c>
      <c r="C201" s="4" t="n">
        <v>15</v>
      </c>
      <c r="D201" s="4">
        <f>C201/60</f>
        <v/>
      </c>
    </row>
    <row r="203">
      <c r="D203" s="6">
        <f>SUM(D199:D202)</f>
        <v/>
      </c>
    </row>
    <row r="204">
      <c r="A204" s="15" t="inlineStr">
        <is>
          <t>Lunch</t>
        </is>
      </c>
    </row>
    <row r="205">
      <c r="A205" s="4" t="inlineStr">
        <is>
          <t>Afternoon Block</t>
        </is>
      </c>
    </row>
    <row r="206">
      <c r="A206" s="16" t="n"/>
      <c r="B206" s="4" t="inlineStr">
        <is>
          <t>Project Management Challenge</t>
        </is>
      </c>
      <c r="C206" s="4" t="n">
        <v>30</v>
      </c>
      <c r="D206" s="4">
        <f>C206/60</f>
        <v/>
      </c>
    </row>
    <row r="207">
      <c r="A207" s="16" t="n"/>
      <c r="B207" s="4" t="inlineStr">
        <is>
          <t>Market Analysis</t>
        </is>
      </c>
      <c r="C207" s="4" t="n">
        <v>60</v>
      </c>
      <c r="D207" s="4">
        <f>C208/60</f>
        <v/>
      </c>
    </row>
    <row r="208">
      <c r="A208" s="16" t="n"/>
      <c r="B208" s="16" t="inlineStr">
        <is>
          <t>MVP Build &amp; Test Work Time</t>
        </is>
      </c>
      <c r="C208" s="4" t="n">
        <v>60</v>
      </c>
      <c r="D208" s="4">
        <f>C207/60</f>
        <v/>
      </c>
    </row>
    <row r="209">
      <c r="A209" s="16" t="n"/>
      <c r="D209" s="6">
        <f>SUM(D205:D208)</f>
        <v/>
      </c>
    </row>
    <row r="210">
      <c r="A210" s="12" t="inlineStr">
        <is>
          <t>Day 2</t>
        </is>
      </c>
      <c r="B210" s="13" t="n"/>
      <c r="C210" s="13" t="n"/>
      <c r="D210" s="13" t="n"/>
    </row>
    <row r="211">
      <c r="A211" s="4" t="inlineStr">
        <is>
          <t>Morning Block</t>
        </is>
      </c>
      <c r="B211" s="16" t="inlineStr">
        <is>
          <t>Feedback Interpretation &amp; Pivoting</t>
        </is>
      </c>
      <c r="C211" s="4" t="n">
        <v>60</v>
      </c>
      <c r="D211" s="4">
        <f>C211/60</f>
        <v/>
      </c>
    </row>
    <row r="212">
      <c r="B212" s="16" t="inlineStr">
        <is>
          <t>MVP Build &amp; Test Work Time</t>
        </is>
      </c>
      <c r="C212" s="4" t="n">
        <v>60</v>
      </c>
      <c r="D212" s="4">
        <f>C212/60</f>
        <v/>
      </c>
    </row>
    <row r="213">
      <c r="D213" s="6">
        <f>SUM(D211:D212)</f>
        <v/>
      </c>
    </row>
    <row r="214">
      <c r="A214" s="15" t="inlineStr">
        <is>
          <t>Lunch</t>
        </is>
      </c>
    </row>
    <row r="215">
      <c r="A215" s="4" t="inlineStr">
        <is>
          <t>Afternoon Block</t>
        </is>
      </c>
    </row>
    <row r="216">
      <c r="A216" s="16" t="n"/>
      <c r="B216" s="16" t="inlineStr">
        <is>
          <t>Costing your Startup</t>
        </is>
      </c>
      <c r="C216" s="4" t="n">
        <v>45</v>
      </c>
      <c r="D216" s="4">
        <f>C216/60</f>
        <v/>
      </c>
    </row>
    <row r="217">
      <c r="A217" s="16" t="n"/>
      <c r="B217" s="16" t="inlineStr">
        <is>
          <t>Revenue Models &amp; Pricing</t>
        </is>
      </c>
      <c r="C217" s="4" t="n">
        <v>45</v>
      </c>
      <c r="D217" s="4">
        <f>C217/60</f>
        <v/>
      </c>
    </row>
    <row r="218">
      <c r="A218" s="16" t="n"/>
      <c r="B218" s="16" t="inlineStr">
        <is>
          <t>Startup Budgeting</t>
        </is>
      </c>
      <c r="C218" s="4" t="n">
        <v>30</v>
      </c>
      <c r="D218" s="4">
        <f>C218/60</f>
        <v/>
      </c>
    </row>
    <row r="219">
      <c r="A219" s="16" t="n"/>
      <c r="D219" s="6">
        <f>SUM(D216:D218)</f>
        <v/>
      </c>
    </row>
    <row r="220">
      <c r="A220" s="12" t="inlineStr">
        <is>
          <t>Day 3</t>
        </is>
      </c>
      <c r="B220" s="13" t="n"/>
      <c r="C220" s="13" t="n"/>
      <c r="D220" s="13" t="n"/>
    </row>
    <row r="221">
      <c r="A221" s="4" t="inlineStr">
        <is>
          <t>Morning Block</t>
        </is>
      </c>
      <c r="B221" s="16" t="inlineStr">
        <is>
          <t>Startup Accounting &amp; Financials</t>
        </is>
      </c>
      <c r="C221" s="4" t="n">
        <v>60</v>
      </c>
      <c r="D221" s="4">
        <f>C221/60</f>
        <v/>
      </c>
    </row>
    <row r="222">
      <c r="B222" s="4" t="inlineStr">
        <is>
          <t>Financial Projections &amp; Break Even</t>
        </is>
      </c>
      <c r="C222" s="4" t="n">
        <v>60</v>
      </c>
      <c r="D222" s="4">
        <f>C222/60</f>
        <v/>
      </c>
    </row>
    <row r="223">
      <c r="D223" s="6">
        <f>SUM(D221:D222)</f>
        <v/>
      </c>
    </row>
    <row r="224">
      <c r="A224" s="15" t="inlineStr">
        <is>
          <t>Lunch</t>
        </is>
      </c>
    </row>
    <row r="225">
      <c r="A225" s="4" t="inlineStr">
        <is>
          <t>Afternoon Block</t>
        </is>
      </c>
      <c r="B225" s="16" t="inlineStr">
        <is>
          <t>MVP Build &amp; Test Work Time</t>
        </is>
      </c>
      <c r="C225" s="4" t="n">
        <v>45</v>
      </c>
      <c r="D225" s="4">
        <f>C225/60</f>
        <v/>
      </c>
    </row>
    <row r="226">
      <c r="A226" s="16" t="n"/>
      <c r="B226" s="16" t="inlineStr">
        <is>
          <t>Entrepreneurial Fundraising Introduction</t>
        </is>
      </c>
      <c r="C226" s="4" t="n">
        <v>60</v>
      </c>
      <c r="D226" s="4">
        <f>C226/60</f>
        <v/>
      </c>
    </row>
    <row r="227">
      <c r="A227" s="16" t="n"/>
      <c r="B227" s="16" t="inlineStr">
        <is>
          <t>Fundraising Challenge</t>
        </is>
      </c>
      <c r="C227" s="4" t="n">
        <v>45</v>
      </c>
      <c r="D227" s="4">
        <f>C227/60</f>
        <v/>
      </c>
    </row>
    <row r="228">
      <c r="A228" s="16" t="n"/>
      <c r="D228" s="6">
        <f>SUM(D225:D227)</f>
        <v/>
      </c>
    </row>
    <row r="229">
      <c r="A229" s="16" t="n"/>
    </row>
    <row r="230">
      <c r="A230" s="12" t="inlineStr">
        <is>
          <t>Day 4</t>
        </is>
      </c>
      <c r="B230" s="13" t="n"/>
      <c r="C230" s="13" t="n"/>
      <c r="D230" s="13" t="n"/>
    </row>
    <row r="231">
      <c r="A231" s="4" t="inlineStr">
        <is>
          <t>Morning Block</t>
        </is>
      </c>
      <c r="B231" s="16" t="inlineStr">
        <is>
          <t>Startup Communication Tools</t>
        </is>
      </c>
      <c r="C231" s="4" t="n">
        <v>60</v>
      </c>
      <c r="D231" s="4">
        <f>C231/60</f>
        <v/>
      </c>
    </row>
    <row r="232">
      <c r="B232" s="16" t="inlineStr">
        <is>
          <t>Pitch Introduction</t>
        </is>
      </c>
      <c r="C232" s="4" t="n">
        <v>60</v>
      </c>
      <c r="D232" s="4">
        <f>C232/60</f>
        <v/>
      </c>
    </row>
    <row r="233">
      <c r="D233" s="6">
        <f>SUM(D231:D232)</f>
        <v/>
      </c>
    </row>
    <row r="234">
      <c r="A234" s="15" t="inlineStr">
        <is>
          <t>Lunch</t>
        </is>
      </c>
    </row>
    <row r="235">
      <c r="A235" s="4" t="inlineStr">
        <is>
          <t>Afternoon Block</t>
        </is>
      </c>
      <c r="B235" s="16" t="inlineStr">
        <is>
          <t>Mentorship or Site Visit</t>
        </is>
      </c>
      <c r="C235" s="4" t="n">
        <v>180</v>
      </c>
      <c r="D235" s="4">
        <f>C235/60</f>
        <v/>
      </c>
    </row>
    <row r="236">
      <c r="A236" s="16" t="n"/>
      <c r="B236" s="16" t="n"/>
    </row>
    <row r="237">
      <c r="A237" s="16" t="n"/>
    </row>
    <row r="238">
      <c r="A238" s="12" t="inlineStr">
        <is>
          <t>Day 5</t>
        </is>
      </c>
      <c r="B238" s="13" t="n"/>
      <c r="C238" s="13" t="n"/>
      <c r="D238" s="13" t="n"/>
    </row>
    <row r="239">
      <c r="A239" s="4" t="inlineStr">
        <is>
          <t>Morning Block</t>
        </is>
      </c>
      <c r="B239" s="16" t="inlineStr">
        <is>
          <t>Guest Speaker &amp; Activities Block</t>
        </is>
      </c>
      <c r="C239" s="4" t="n">
        <v>120</v>
      </c>
      <c r="D239" s="4">
        <f>C239/60</f>
        <v/>
      </c>
    </row>
    <row r="240">
      <c r="B240" s="16" t="n"/>
    </row>
    <row r="241">
      <c r="D241" s="6" t="n"/>
    </row>
    <row r="242">
      <c r="A242" s="15" t="inlineStr">
        <is>
          <t>Lunch</t>
        </is>
      </c>
    </row>
    <row r="243">
      <c r="A243" s="4" t="inlineStr">
        <is>
          <t>Afternoon Block</t>
        </is>
      </c>
      <c r="B243" s="16" t="inlineStr">
        <is>
          <t>Project Management &amp; Leadership Skills</t>
        </is>
      </c>
      <c r="C243" s="4" t="n">
        <v>45</v>
      </c>
      <c r="D243" s="4">
        <f>C243/60</f>
        <v/>
      </c>
    </row>
    <row r="244">
      <c r="A244" s="16" t="n"/>
      <c r="B244" s="16" t="inlineStr">
        <is>
          <t>MVP Testing Worktime</t>
        </is>
      </c>
      <c r="C244" s="4" t="n">
        <v>45</v>
      </c>
      <c r="D244" s="4">
        <f>C244/60</f>
        <v/>
      </c>
    </row>
    <row r="245">
      <c r="A245" s="16" t="n"/>
      <c r="B245" s="16" t="n"/>
      <c r="D245" s="4">
        <f>C245/60</f>
        <v/>
      </c>
    </row>
    <row r="246">
      <c r="A246" s="16" t="n"/>
    </row>
    <row r="247">
      <c r="A247" s="16" t="n"/>
      <c r="D247" s="6">
        <f>SUM(D243:D246)</f>
        <v/>
      </c>
    </row>
    <row r="248">
      <c r="A248" s="16" t="n"/>
    </row>
    <row r="249">
      <c r="A249" s="16" t="n"/>
    </row>
    <row r="250">
      <c r="A250" s="16" t="n"/>
    </row>
    <row r="251">
      <c r="A251" s="16" t="n"/>
    </row>
    <row r="252">
      <c r="A252" s="16" t="n"/>
    </row>
    <row r="253">
      <c r="A253" s="16" t="n"/>
    </row>
    <row r="254">
      <c r="A254" s="16" t="n"/>
    </row>
    <row r="255">
      <c r="A255" s="16" t="n"/>
    </row>
    <row r="256">
      <c r="A256" s="16" t="n"/>
    </row>
    <row r="257">
      <c r="A257" s="16" t="n"/>
    </row>
    <row r="258">
      <c r="A258" s="16" t="n"/>
    </row>
    <row r="259">
      <c r="A259" s="16" t="n"/>
    </row>
    <row r="260">
      <c r="A260" s="16" t="n"/>
    </row>
    <row r="261">
      <c r="A261" s="16" t="n"/>
    </row>
    <row r="262">
      <c r="A262" s="16" t="n"/>
    </row>
    <row r="263">
      <c r="A263" s="16" t="n"/>
    </row>
    <row r="264">
      <c r="A264" s="16" t="n"/>
    </row>
    <row r="265">
      <c r="A265" s="16" t="n"/>
    </row>
    <row r="266">
      <c r="A266" s="16" t="n"/>
    </row>
    <row r="267">
      <c r="A267" s="16" t="n"/>
    </row>
    <row r="268">
      <c r="A268" s="16" t="n"/>
    </row>
    <row r="269">
      <c r="A269" s="16" t="n"/>
    </row>
    <row r="270">
      <c r="A270" s="16" t="n"/>
    </row>
    <row r="271">
      <c r="A271" s="16" t="n"/>
    </row>
    <row r="272">
      <c r="A272" s="16" t="n"/>
    </row>
    <row r="273">
      <c r="A273" s="16" t="n"/>
    </row>
    <row r="274">
      <c r="A274" s="16" t="n"/>
    </row>
    <row r="275">
      <c r="A275" s="16" t="n"/>
    </row>
    <row r="276">
      <c r="A276" s="16" t="n"/>
    </row>
    <row r="277">
      <c r="A277" s="16" t="n"/>
    </row>
    <row r="278">
      <c r="A278" s="16" t="n"/>
    </row>
    <row r="279">
      <c r="A279" s="16" t="n"/>
    </row>
    <row r="280">
      <c r="A280" s="16" t="n"/>
    </row>
    <row r="281">
      <c r="A281" s="16" t="n"/>
    </row>
    <row r="282">
      <c r="A282" s="16" t="n"/>
    </row>
    <row r="283">
      <c r="A283" s="16" t="n"/>
    </row>
    <row r="284">
      <c r="A284" s="16" t="n"/>
    </row>
    <row r="285">
      <c r="A285" s="16" t="n"/>
    </row>
    <row r="286">
      <c r="A286" s="16" t="n"/>
    </row>
    <row r="287">
      <c r="A287" s="16" t="n"/>
    </row>
    <row r="288">
      <c r="A288" s="16" t="n"/>
    </row>
    <row r="289">
      <c r="A289" s="16" t="n"/>
    </row>
    <row r="290">
      <c r="A290" s="16" t="n"/>
    </row>
    <row r="291">
      <c r="A291" s="16" t="n"/>
    </row>
    <row r="292">
      <c r="A292" s="16" t="n"/>
    </row>
    <row r="293">
      <c r="A293" s="16" t="n"/>
    </row>
    <row r="294">
      <c r="A294" s="16" t="n"/>
    </row>
    <row r="295">
      <c r="A295" s="16" t="n"/>
    </row>
    <row r="296">
      <c r="A296" s="16" t="n"/>
    </row>
    <row r="297">
      <c r="A297" s="16" t="n"/>
    </row>
    <row r="298">
      <c r="A298" s="16" t="n"/>
    </row>
    <row r="299">
      <c r="A299" s="16" t="n"/>
    </row>
    <row r="300">
      <c r="A300" s="16" t="n"/>
    </row>
    <row r="301">
      <c r="A301" s="16" t="n"/>
    </row>
    <row r="302">
      <c r="A302" s="16" t="n"/>
    </row>
    <row r="303">
      <c r="A303" s="16" t="n"/>
    </row>
    <row r="304">
      <c r="A304" s="16" t="n"/>
    </row>
    <row r="305">
      <c r="A305" s="16" t="n"/>
    </row>
    <row r="306">
      <c r="A306" s="16" t="n"/>
    </row>
    <row r="307">
      <c r="A307" s="16" t="n"/>
    </row>
    <row r="308">
      <c r="A308" s="16" t="n"/>
    </row>
    <row r="309">
      <c r="A309" s="16" t="n"/>
    </row>
    <row r="310">
      <c r="A310" s="16" t="n"/>
    </row>
    <row r="311">
      <c r="A311" s="16" t="n"/>
    </row>
    <row r="312">
      <c r="A312" s="16" t="n"/>
    </row>
    <row r="313">
      <c r="A313" s="16" t="n"/>
    </row>
    <row r="314">
      <c r="A314" s="16" t="n"/>
    </row>
    <row r="315">
      <c r="A315" s="16" t="n"/>
    </row>
    <row r="316">
      <c r="A316" s="16" t="n"/>
    </row>
    <row r="317">
      <c r="A317" s="16" t="n"/>
    </row>
    <row r="318">
      <c r="A318" s="16" t="n"/>
    </row>
    <row r="319">
      <c r="A319" s="16" t="n"/>
    </row>
    <row r="320">
      <c r="A320" s="16" t="n"/>
    </row>
    <row r="321">
      <c r="A321" s="16" t="n"/>
    </row>
    <row r="322">
      <c r="A322" s="16" t="n"/>
    </row>
    <row r="323">
      <c r="A323" s="16" t="n"/>
    </row>
    <row r="324">
      <c r="A324" s="16" t="n"/>
    </row>
    <row r="325">
      <c r="A325" s="16" t="n"/>
    </row>
    <row r="326">
      <c r="A326" s="16" t="n"/>
    </row>
    <row r="327">
      <c r="A327" s="16" t="n"/>
    </row>
    <row r="328">
      <c r="A328" s="16" t="n"/>
    </row>
    <row r="329">
      <c r="A329" s="16" t="n"/>
    </row>
    <row r="330">
      <c r="A330" s="16" t="n"/>
    </row>
    <row r="331">
      <c r="A331" s="16" t="n"/>
    </row>
    <row r="332">
      <c r="A332" s="16" t="n"/>
    </row>
    <row r="333">
      <c r="A333" s="16" t="n"/>
    </row>
    <row r="334">
      <c r="A334" s="16" t="n"/>
    </row>
    <row r="335">
      <c r="A335" s="16" t="n"/>
    </row>
    <row r="336">
      <c r="A336" s="16" t="n"/>
    </row>
    <row r="337">
      <c r="A337" s="16" t="n"/>
    </row>
    <row r="338">
      <c r="A338" s="16" t="n"/>
    </row>
    <row r="339">
      <c r="A339" s="16" t="n"/>
    </row>
    <row r="340">
      <c r="A340" s="16" t="n"/>
    </row>
    <row r="341">
      <c r="A341" s="16" t="n"/>
    </row>
    <row r="342">
      <c r="A342" s="16" t="n"/>
    </row>
    <row r="343">
      <c r="A343" s="16" t="n"/>
    </row>
    <row r="344">
      <c r="A344" s="16" t="n"/>
    </row>
    <row r="345">
      <c r="A345" s="16" t="n"/>
    </row>
    <row r="346">
      <c r="A346" s="16" t="n"/>
    </row>
    <row r="347">
      <c r="A347" s="16" t="n"/>
    </row>
    <row r="348">
      <c r="A348" s="16" t="n"/>
    </row>
    <row r="349">
      <c r="A349" s="16" t="n"/>
    </row>
    <row r="350">
      <c r="A350" s="16" t="n"/>
    </row>
    <row r="351">
      <c r="A351" s="16" t="n"/>
    </row>
    <row r="352">
      <c r="A352" s="16" t="n"/>
    </row>
    <row r="353">
      <c r="A353" s="16" t="n"/>
    </row>
    <row r="354">
      <c r="A354" s="16" t="n"/>
    </row>
    <row r="355">
      <c r="A355" s="16" t="n"/>
    </row>
    <row r="356">
      <c r="A356" s="16" t="n"/>
    </row>
    <row r="357">
      <c r="A357" s="16" t="n"/>
    </row>
    <row r="358">
      <c r="A358" s="16" t="n"/>
    </row>
    <row r="359">
      <c r="A359" s="16" t="n"/>
    </row>
    <row r="360">
      <c r="A360" s="16" t="n"/>
    </row>
    <row r="361">
      <c r="A361" s="16" t="n"/>
    </row>
    <row r="362">
      <c r="A362" s="16" t="n"/>
    </row>
    <row r="363">
      <c r="A363" s="16" t="n"/>
    </row>
    <row r="364">
      <c r="A364" s="16" t="n"/>
    </row>
    <row r="365">
      <c r="A365" s="16" t="n"/>
    </row>
    <row r="366">
      <c r="A366" s="16" t="n"/>
    </row>
    <row r="367">
      <c r="A367" s="16" t="n"/>
    </row>
    <row r="368">
      <c r="A368" s="16" t="n"/>
    </row>
    <row r="369">
      <c r="A369" s="16" t="n"/>
    </row>
    <row r="370">
      <c r="A370" s="16" t="n"/>
    </row>
    <row r="371">
      <c r="A371" s="16" t="n"/>
    </row>
    <row r="372">
      <c r="A372" s="16" t="n"/>
    </row>
    <row r="373">
      <c r="A373" s="16" t="n"/>
    </row>
    <row r="374">
      <c r="A374" s="16" t="n"/>
    </row>
    <row r="375">
      <c r="A375" s="16" t="n"/>
    </row>
    <row r="376">
      <c r="A376" s="16" t="n"/>
    </row>
    <row r="377">
      <c r="A377" s="16" t="n"/>
    </row>
    <row r="378">
      <c r="A378" s="16" t="n"/>
    </row>
    <row r="379">
      <c r="A379" s="16" t="n"/>
    </row>
    <row r="380">
      <c r="A380" s="16" t="n"/>
    </row>
    <row r="381">
      <c r="A381" s="16" t="n"/>
    </row>
    <row r="382">
      <c r="A382" s="16" t="n"/>
    </row>
    <row r="383">
      <c r="A383" s="16" t="n"/>
    </row>
    <row r="384">
      <c r="A384" s="16" t="n"/>
    </row>
    <row r="385">
      <c r="A385" s="16" t="n"/>
    </row>
    <row r="386">
      <c r="A386" s="16" t="n"/>
    </row>
    <row r="387">
      <c r="A387" s="16" t="n"/>
    </row>
    <row r="388">
      <c r="A388" s="16" t="n"/>
    </row>
    <row r="389">
      <c r="A389" s="16" t="n"/>
    </row>
    <row r="390">
      <c r="A390" s="16" t="n"/>
    </row>
    <row r="391">
      <c r="A391" s="16" t="n"/>
    </row>
    <row r="392">
      <c r="A392" s="16" t="n"/>
    </row>
    <row r="393">
      <c r="A393" s="16" t="n"/>
    </row>
    <row r="394">
      <c r="A394" s="16" t="n"/>
    </row>
    <row r="395">
      <c r="A395" s="16" t="n"/>
    </row>
    <row r="396">
      <c r="A396" s="16" t="n"/>
    </row>
    <row r="397">
      <c r="A397" s="16" t="n"/>
    </row>
    <row r="398">
      <c r="A398" s="16" t="n"/>
    </row>
    <row r="399">
      <c r="A399" s="16" t="n"/>
    </row>
    <row r="400">
      <c r="A400" s="16" t="n"/>
    </row>
    <row r="401">
      <c r="A401" s="16" t="n"/>
    </row>
    <row r="402">
      <c r="A402" s="16" t="n"/>
    </row>
    <row r="403">
      <c r="A403" s="16" t="n"/>
    </row>
    <row r="404">
      <c r="A404" s="16" t="n"/>
    </row>
    <row r="405">
      <c r="A405" s="16" t="n"/>
    </row>
    <row r="406">
      <c r="A406" s="16" t="n"/>
    </row>
    <row r="407">
      <c r="A407" s="16" t="n"/>
    </row>
    <row r="408">
      <c r="A408" s="16" t="n"/>
    </row>
    <row r="409">
      <c r="A409" s="16" t="n"/>
    </row>
    <row r="410">
      <c r="A410" s="16" t="n"/>
    </row>
    <row r="411">
      <c r="A411" s="16" t="n"/>
    </row>
    <row r="412">
      <c r="A412" s="16" t="n"/>
    </row>
    <row r="413">
      <c r="A413" s="16" t="n"/>
    </row>
    <row r="414">
      <c r="A414" s="16" t="n"/>
    </row>
    <row r="415">
      <c r="A415" s="16" t="n"/>
    </row>
    <row r="416">
      <c r="A416" s="16" t="n"/>
    </row>
    <row r="417">
      <c r="A417" s="16" t="n"/>
    </row>
    <row r="418">
      <c r="A418" s="16" t="n"/>
    </row>
    <row r="419">
      <c r="A419" s="16" t="n"/>
    </row>
    <row r="420">
      <c r="A420" s="16" t="n"/>
    </row>
    <row r="421">
      <c r="A421" s="16" t="n"/>
    </row>
    <row r="422">
      <c r="A422" s="16" t="n"/>
    </row>
    <row r="423">
      <c r="A423" s="16" t="n"/>
    </row>
    <row r="424">
      <c r="A424" s="16" t="n"/>
    </row>
    <row r="425">
      <c r="A425" s="16" t="n"/>
    </row>
    <row r="426">
      <c r="A426" s="16" t="n"/>
    </row>
    <row r="427">
      <c r="A427" s="16" t="n"/>
    </row>
    <row r="428">
      <c r="A428" s="16" t="n"/>
    </row>
    <row r="429">
      <c r="A429" s="16" t="n"/>
    </row>
    <row r="430">
      <c r="A430" s="16" t="n"/>
    </row>
    <row r="431">
      <c r="A431" s="16" t="n"/>
    </row>
    <row r="432">
      <c r="A432" s="16" t="n"/>
    </row>
    <row r="433">
      <c r="A433" s="16" t="n"/>
    </row>
    <row r="434">
      <c r="A434" s="16" t="n"/>
    </row>
    <row r="435">
      <c r="A435" s="16" t="n"/>
    </row>
    <row r="436">
      <c r="A436" s="16" t="n"/>
    </row>
    <row r="437">
      <c r="A437" s="16" t="n"/>
    </row>
    <row r="438">
      <c r="A438" s="16" t="n"/>
    </row>
    <row r="439">
      <c r="A439" s="16" t="n"/>
    </row>
    <row r="440">
      <c r="A440" s="16" t="n"/>
    </row>
    <row r="441">
      <c r="A441" s="16" t="n"/>
    </row>
    <row r="442">
      <c r="A442" s="16" t="n"/>
    </row>
    <row r="443">
      <c r="A443" s="16" t="n"/>
    </row>
    <row r="444">
      <c r="A444" s="16" t="n"/>
    </row>
    <row r="445">
      <c r="A445" s="16" t="n"/>
    </row>
    <row r="446">
      <c r="A446" s="16" t="n"/>
    </row>
    <row r="447">
      <c r="A447" s="16" t="n"/>
    </row>
    <row r="448">
      <c r="A448" s="16" t="n"/>
    </row>
    <row r="449">
      <c r="A449" s="16" t="n"/>
    </row>
    <row r="450">
      <c r="A450" s="16" t="n"/>
    </row>
    <row r="451">
      <c r="A451" s="16" t="n"/>
    </row>
    <row r="452">
      <c r="A452" s="16" t="n"/>
    </row>
    <row r="453">
      <c r="A453" s="16" t="n"/>
    </row>
    <row r="454">
      <c r="A454" s="16" t="n"/>
    </row>
    <row r="455">
      <c r="A455" s="16" t="n"/>
    </row>
    <row r="456">
      <c r="A456" s="16" t="n"/>
    </row>
    <row r="457">
      <c r="A457" s="16" t="n"/>
    </row>
    <row r="458">
      <c r="A458" s="16" t="n"/>
    </row>
    <row r="459">
      <c r="A459" s="16" t="n"/>
    </row>
    <row r="460">
      <c r="A460" s="16" t="n"/>
    </row>
    <row r="461">
      <c r="A461" s="16" t="n"/>
    </row>
    <row r="462">
      <c r="A462" s="16" t="n"/>
    </row>
    <row r="463">
      <c r="A463" s="16" t="n"/>
    </row>
    <row r="464">
      <c r="A464" s="16" t="n"/>
    </row>
    <row r="465">
      <c r="A465" s="16" t="n"/>
    </row>
    <row r="466">
      <c r="A466" s="16" t="n"/>
    </row>
    <row r="467">
      <c r="A467" s="16" t="n"/>
    </row>
    <row r="468">
      <c r="A468" s="16" t="n"/>
    </row>
    <row r="469">
      <c r="A469" s="16" t="n"/>
    </row>
    <row r="470">
      <c r="A470" s="16" t="n"/>
    </row>
    <row r="471">
      <c r="A471" s="16" t="n"/>
    </row>
    <row r="472">
      <c r="A472" s="16" t="n"/>
    </row>
    <row r="473">
      <c r="A473" s="16" t="n"/>
    </row>
    <row r="474">
      <c r="A474" s="16" t="n"/>
    </row>
    <row r="475">
      <c r="A475" s="16" t="n"/>
    </row>
    <row r="476">
      <c r="A476" s="16" t="n"/>
    </row>
    <row r="477">
      <c r="A477" s="16" t="n"/>
    </row>
    <row r="478">
      <c r="A478" s="16" t="n"/>
    </row>
    <row r="479">
      <c r="A479" s="16" t="n"/>
    </row>
    <row r="480">
      <c r="A480" s="16" t="n"/>
    </row>
    <row r="481">
      <c r="A481" s="16" t="n"/>
    </row>
    <row r="482">
      <c r="A482" s="16" t="n"/>
    </row>
    <row r="483">
      <c r="A483" s="16" t="n"/>
    </row>
    <row r="484">
      <c r="A484" s="16" t="n"/>
    </row>
    <row r="485">
      <c r="A485" s="16" t="n"/>
    </row>
    <row r="486">
      <c r="A486" s="16" t="n"/>
    </row>
    <row r="487">
      <c r="A487" s="16" t="n"/>
    </row>
    <row r="488">
      <c r="A488" s="16" t="n"/>
    </row>
    <row r="489">
      <c r="A489" s="16" t="n"/>
    </row>
    <row r="490">
      <c r="A490" s="16" t="n"/>
    </row>
    <row r="491">
      <c r="A491" s="16" t="n"/>
    </row>
    <row r="492">
      <c r="A492" s="16" t="n"/>
    </row>
    <row r="493">
      <c r="A493" s="16" t="n"/>
    </row>
    <row r="494">
      <c r="A494" s="16" t="n"/>
    </row>
    <row r="495">
      <c r="A495" s="16" t="n"/>
    </row>
    <row r="496">
      <c r="A496" s="16" t="n"/>
    </row>
    <row r="497">
      <c r="A497" s="16" t="n"/>
    </row>
    <row r="498">
      <c r="A498" s="16" t="n"/>
    </row>
    <row r="499">
      <c r="A499" s="16" t="n"/>
    </row>
    <row r="500">
      <c r="A500" s="16" t="n"/>
    </row>
    <row r="501">
      <c r="A501" s="16" t="n"/>
    </row>
    <row r="502">
      <c r="A502" s="16" t="n"/>
    </row>
    <row r="503">
      <c r="A503" s="16" t="n"/>
    </row>
    <row r="504">
      <c r="A504" s="16" t="n"/>
    </row>
    <row r="505">
      <c r="A505" s="16" t="n"/>
    </row>
    <row r="506">
      <c r="A506" s="16" t="n"/>
    </row>
    <row r="507">
      <c r="A507" s="16" t="n"/>
    </row>
    <row r="508">
      <c r="A508" s="16" t="n"/>
    </row>
    <row r="509">
      <c r="A509" s="16" t="n"/>
    </row>
    <row r="510">
      <c r="A510" s="16" t="n"/>
    </row>
    <row r="511">
      <c r="A511" s="16" t="n"/>
    </row>
    <row r="512">
      <c r="A512" s="16" t="n"/>
    </row>
    <row r="513">
      <c r="A513" s="16" t="n"/>
    </row>
    <row r="514">
      <c r="A514" s="16" t="n"/>
    </row>
    <row r="515">
      <c r="A515" s="16" t="n"/>
    </row>
    <row r="516">
      <c r="A516" s="16" t="n"/>
    </row>
    <row r="517">
      <c r="A517" s="16" t="n"/>
    </row>
    <row r="518">
      <c r="A518" s="16" t="n"/>
    </row>
    <row r="519">
      <c r="A519" s="16" t="n"/>
    </row>
    <row r="520">
      <c r="A520" s="16" t="n"/>
    </row>
    <row r="521">
      <c r="A521" s="16" t="n"/>
    </row>
    <row r="522">
      <c r="A522" s="16" t="n"/>
    </row>
    <row r="523">
      <c r="A523" s="16" t="n"/>
    </row>
    <row r="524">
      <c r="A524" s="16" t="n"/>
    </row>
    <row r="525">
      <c r="A525" s="16" t="n"/>
    </row>
    <row r="526">
      <c r="A526" s="16" t="n"/>
    </row>
    <row r="527">
      <c r="A527" s="16" t="n"/>
    </row>
    <row r="528">
      <c r="A528" s="16" t="n"/>
    </row>
    <row r="529">
      <c r="A529" s="16" t="n"/>
    </row>
    <row r="530">
      <c r="A530" s="16" t="n"/>
    </row>
    <row r="531">
      <c r="A531" s="16" t="n"/>
    </row>
    <row r="532">
      <c r="A532" s="16" t="n"/>
    </row>
    <row r="533">
      <c r="A533" s="16" t="n"/>
    </row>
    <row r="534">
      <c r="A534" s="16" t="n"/>
    </row>
    <row r="535">
      <c r="A535" s="16" t="n"/>
    </row>
    <row r="536">
      <c r="A536" s="16" t="n"/>
    </row>
    <row r="537">
      <c r="A537" s="16" t="n"/>
    </row>
    <row r="538">
      <c r="A538" s="16" t="n"/>
    </row>
    <row r="539">
      <c r="A539" s="16" t="n"/>
    </row>
    <row r="540">
      <c r="A540" s="16" t="n"/>
    </row>
    <row r="541">
      <c r="A541" s="16" t="n"/>
    </row>
    <row r="542">
      <c r="A542" s="16" t="n"/>
    </row>
    <row r="543">
      <c r="A543" s="16" t="n"/>
    </row>
    <row r="544">
      <c r="A544" s="16" t="n"/>
    </row>
    <row r="545">
      <c r="A545" s="16" t="n"/>
    </row>
    <row r="546">
      <c r="A546" s="16" t="n"/>
    </row>
    <row r="547">
      <c r="A547" s="16" t="n"/>
    </row>
    <row r="548">
      <c r="A548" s="16" t="n"/>
    </row>
    <row r="549">
      <c r="A549" s="16" t="n"/>
    </row>
    <row r="550">
      <c r="A550" s="16" t="n"/>
    </row>
    <row r="551">
      <c r="A551" s="16" t="n"/>
    </row>
    <row r="552">
      <c r="A552" s="16" t="n"/>
    </row>
    <row r="553">
      <c r="A553" s="16" t="n"/>
    </row>
    <row r="554">
      <c r="A554" s="16" t="n"/>
    </row>
    <row r="555">
      <c r="A555" s="16" t="n"/>
    </row>
    <row r="556">
      <c r="A556" s="16" t="n"/>
    </row>
    <row r="557">
      <c r="A557" s="16" t="n"/>
    </row>
    <row r="558">
      <c r="A558" s="16" t="n"/>
    </row>
    <row r="559">
      <c r="A559" s="16" t="n"/>
    </row>
    <row r="560">
      <c r="A560" s="16" t="n"/>
    </row>
    <row r="561">
      <c r="A561" s="16" t="n"/>
    </row>
    <row r="562">
      <c r="A562" s="16" t="n"/>
    </row>
    <row r="563">
      <c r="A563" s="16" t="n"/>
    </row>
    <row r="564">
      <c r="A564" s="16" t="n"/>
    </row>
    <row r="565">
      <c r="A565" s="16" t="n"/>
    </row>
    <row r="566">
      <c r="A566" s="16" t="n"/>
    </row>
    <row r="567">
      <c r="A567" s="16" t="n"/>
    </row>
    <row r="568">
      <c r="A568" s="16" t="n"/>
    </row>
    <row r="569">
      <c r="A569" s="16" t="n"/>
    </row>
    <row r="570">
      <c r="A570" s="16" t="n"/>
    </row>
    <row r="571">
      <c r="A571" s="16" t="n"/>
    </row>
    <row r="572">
      <c r="A572" s="16" t="n"/>
    </row>
    <row r="573">
      <c r="A573" s="16" t="n"/>
    </row>
    <row r="574">
      <c r="A574" s="16" t="n"/>
    </row>
    <row r="575">
      <c r="A575" s="16" t="n"/>
    </row>
    <row r="576">
      <c r="A576" s="16" t="n"/>
    </row>
    <row r="577">
      <c r="A577" s="16" t="n"/>
    </row>
    <row r="578">
      <c r="A578" s="16" t="n"/>
    </row>
    <row r="579">
      <c r="A579" s="16" t="n"/>
    </row>
    <row r="580">
      <c r="A580" s="16" t="n"/>
    </row>
    <row r="581">
      <c r="A581" s="16" t="n"/>
    </row>
    <row r="582">
      <c r="A582" s="16" t="n"/>
    </row>
    <row r="583">
      <c r="A583" s="16" t="n"/>
    </row>
    <row r="584">
      <c r="A584" s="16" t="n"/>
    </row>
    <row r="585">
      <c r="A585" s="16" t="n"/>
    </row>
    <row r="586">
      <c r="A586" s="16" t="n"/>
    </row>
    <row r="587">
      <c r="A587" s="16" t="n"/>
    </row>
    <row r="588">
      <c r="A588" s="16" t="n"/>
    </row>
    <row r="589">
      <c r="A589" s="16" t="n"/>
    </row>
    <row r="590">
      <c r="A590" s="16" t="n"/>
    </row>
    <row r="591">
      <c r="A591" s="16" t="n"/>
    </row>
    <row r="592">
      <c r="A592" s="16" t="n"/>
    </row>
    <row r="593">
      <c r="A593" s="16" t="n"/>
    </row>
    <row r="594">
      <c r="A594" s="16" t="n"/>
    </row>
    <row r="595">
      <c r="A595" s="16" t="n"/>
    </row>
    <row r="596">
      <c r="A596" s="16" t="n"/>
    </row>
    <row r="597">
      <c r="A597" s="16" t="n"/>
    </row>
    <row r="598">
      <c r="A598" s="16" t="n"/>
    </row>
    <row r="599">
      <c r="A599" s="16" t="n"/>
    </row>
    <row r="600">
      <c r="A600" s="16" t="n"/>
    </row>
    <row r="601">
      <c r="A601" s="16" t="n"/>
    </row>
    <row r="602">
      <c r="A602" s="16" t="n"/>
    </row>
    <row r="603">
      <c r="A603" s="16" t="n"/>
    </row>
    <row r="604">
      <c r="A604" s="16" t="n"/>
    </row>
    <row r="605">
      <c r="A605" s="16" t="n"/>
    </row>
    <row r="606">
      <c r="A606" s="16" t="n"/>
    </row>
    <row r="607">
      <c r="A607" s="16" t="n"/>
    </row>
    <row r="608">
      <c r="A608" s="16" t="n"/>
    </row>
    <row r="609">
      <c r="A609" s="16" t="n"/>
    </row>
    <row r="610">
      <c r="A610" s="16" t="n"/>
    </row>
    <row r="611">
      <c r="A611" s="16" t="n"/>
    </row>
    <row r="612">
      <c r="A612" s="16" t="n"/>
    </row>
    <row r="613">
      <c r="A613" s="16" t="n"/>
    </row>
    <row r="614">
      <c r="A614" s="16" t="n"/>
    </row>
    <row r="615">
      <c r="A615" s="16" t="n"/>
    </row>
    <row r="616">
      <c r="A616" s="16" t="n"/>
    </row>
    <row r="617">
      <c r="A617" s="16" t="n"/>
    </row>
    <row r="618">
      <c r="A618" s="16" t="n"/>
    </row>
    <row r="619">
      <c r="A619" s="16" t="n"/>
    </row>
    <row r="620">
      <c r="A620" s="16" t="n"/>
    </row>
    <row r="621">
      <c r="A621" s="16" t="n"/>
    </row>
    <row r="622">
      <c r="A622" s="16" t="n"/>
    </row>
    <row r="623">
      <c r="A623" s="16" t="n"/>
    </row>
    <row r="624">
      <c r="A624" s="16" t="n"/>
    </row>
    <row r="625">
      <c r="A625" s="16" t="n"/>
    </row>
    <row r="626">
      <c r="A626" s="16" t="n"/>
    </row>
    <row r="627">
      <c r="A627" s="16" t="n"/>
    </row>
    <row r="628">
      <c r="A628" s="16" t="n"/>
    </row>
    <row r="629">
      <c r="A629" s="16" t="n"/>
    </row>
    <row r="630">
      <c r="A630" s="16" t="n"/>
    </row>
    <row r="631">
      <c r="A631" s="16" t="n"/>
    </row>
    <row r="632">
      <c r="A632" s="16" t="n"/>
    </row>
    <row r="633">
      <c r="A633" s="16" t="n"/>
    </row>
    <row r="634">
      <c r="A634" s="16" t="n"/>
    </row>
    <row r="635">
      <c r="A635" s="16" t="n"/>
    </row>
    <row r="636">
      <c r="A636" s="16" t="n"/>
    </row>
    <row r="637">
      <c r="A637" s="16" t="n"/>
    </row>
    <row r="638">
      <c r="A638" s="16" t="n"/>
    </row>
    <row r="639">
      <c r="A639" s="16" t="n"/>
    </row>
    <row r="640">
      <c r="A640" s="16" t="n"/>
    </row>
    <row r="641">
      <c r="A641" s="16" t="n"/>
    </row>
    <row r="642">
      <c r="A642" s="16" t="n"/>
    </row>
    <row r="643">
      <c r="A643" s="16" t="n"/>
    </row>
    <row r="644">
      <c r="A644" s="16" t="n"/>
    </row>
    <row r="645">
      <c r="A645" s="16" t="n"/>
    </row>
    <row r="646">
      <c r="A646" s="16" t="n"/>
    </row>
    <row r="647">
      <c r="A647" s="16" t="n"/>
    </row>
    <row r="648">
      <c r="A648" s="16" t="n"/>
    </row>
    <row r="649">
      <c r="A649" s="16" t="n"/>
    </row>
    <row r="650">
      <c r="A650" s="16" t="n"/>
    </row>
    <row r="651">
      <c r="A651" s="16" t="n"/>
    </row>
    <row r="652">
      <c r="A652" s="16" t="n"/>
    </row>
    <row r="653">
      <c r="A653" s="16" t="n"/>
    </row>
    <row r="654">
      <c r="A654" s="16" t="n"/>
    </row>
    <row r="655">
      <c r="A655" s="16" t="n"/>
    </row>
    <row r="656">
      <c r="A656" s="16" t="n"/>
    </row>
    <row r="657">
      <c r="A657" s="16" t="n"/>
    </row>
    <row r="658">
      <c r="A658" s="16" t="n"/>
    </row>
    <row r="659">
      <c r="A659" s="16" t="n"/>
    </row>
    <row r="660">
      <c r="A660" s="16" t="n"/>
    </row>
    <row r="661">
      <c r="A661" s="16" t="n"/>
    </row>
    <row r="662">
      <c r="A662" s="16" t="n"/>
    </row>
    <row r="663">
      <c r="A663" s="16" t="n"/>
    </row>
    <row r="664">
      <c r="A664" s="16" t="n"/>
    </row>
    <row r="665">
      <c r="A665" s="16" t="n"/>
    </row>
    <row r="666">
      <c r="A666" s="16" t="n"/>
    </row>
    <row r="667">
      <c r="A667" s="16" t="n"/>
    </row>
    <row r="668">
      <c r="A668" s="16" t="n"/>
    </row>
    <row r="669">
      <c r="A669" s="16" t="n"/>
    </row>
    <row r="670">
      <c r="A670" s="16" t="n"/>
    </row>
    <row r="671">
      <c r="A671" s="16" t="n"/>
    </row>
    <row r="672">
      <c r="A672" s="16" t="n"/>
    </row>
    <row r="673">
      <c r="A673" s="16" t="n"/>
    </row>
    <row r="674">
      <c r="A674" s="16" t="n"/>
    </row>
    <row r="675">
      <c r="A675" s="16" t="n"/>
    </row>
    <row r="676">
      <c r="A676" s="16" t="n"/>
    </row>
    <row r="677">
      <c r="A677" s="16" t="n"/>
    </row>
    <row r="678">
      <c r="A678" s="16" t="n"/>
    </row>
    <row r="679">
      <c r="A679" s="16" t="n"/>
    </row>
    <row r="680">
      <c r="A680" s="16" t="n"/>
    </row>
    <row r="681">
      <c r="A681" s="16" t="n"/>
    </row>
    <row r="682">
      <c r="A682" s="16" t="n"/>
    </row>
    <row r="683">
      <c r="A683" s="16" t="n"/>
    </row>
    <row r="684">
      <c r="A684" s="16" t="n"/>
    </row>
    <row r="685">
      <c r="A685" s="16" t="n"/>
    </row>
    <row r="686">
      <c r="A686" s="16" t="n"/>
    </row>
    <row r="687">
      <c r="A687" s="16" t="n"/>
    </row>
    <row r="688">
      <c r="A688" s="16" t="n"/>
    </row>
    <row r="689">
      <c r="A689" s="16" t="n"/>
    </row>
    <row r="690">
      <c r="A690" s="16" t="n"/>
    </row>
    <row r="691">
      <c r="A691" s="16" t="n"/>
    </row>
    <row r="692">
      <c r="A692" s="16" t="n"/>
    </row>
    <row r="693">
      <c r="A693" s="16" t="n"/>
    </row>
    <row r="694">
      <c r="A694" s="16" t="n"/>
    </row>
    <row r="695">
      <c r="A695" s="16" t="n"/>
    </row>
    <row r="696">
      <c r="A696" s="16" t="n"/>
    </row>
    <row r="697">
      <c r="A697" s="16" t="n"/>
    </row>
    <row r="698">
      <c r="A698" s="16" t="n"/>
    </row>
    <row r="699">
      <c r="A699" s="16" t="n"/>
    </row>
    <row r="700">
      <c r="A700" s="16" t="n"/>
    </row>
    <row r="701">
      <c r="A701" s="16" t="n"/>
    </row>
    <row r="702">
      <c r="A702" s="16" t="n"/>
    </row>
    <row r="703">
      <c r="A703" s="16" t="n"/>
    </row>
    <row r="704">
      <c r="A704" s="16" t="n"/>
    </row>
    <row r="705">
      <c r="A705" s="16" t="n"/>
    </row>
    <row r="706">
      <c r="A706" s="16" t="n"/>
    </row>
    <row r="707">
      <c r="A707" s="16" t="n"/>
    </row>
    <row r="708">
      <c r="A708" s="16" t="n"/>
    </row>
    <row r="709">
      <c r="A709" s="16" t="n"/>
    </row>
    <row r="710">
      <c r="A710" s="16" t="n"/>
    </row>
    <row r="711">
      <c r="A711" s="16" t="n"/>
    </row>
    <row r="712">
      <c r="A712" s="16" t="n"/>
    </row>
    <row r="713">
      <c r="A713" s="16" t="n"/>
    </row>
    <row r="714">
      <c r="A714" s="16" t="n"/>
    </row>
    <row r="715">
      <c r="A715" s="16" t="n"/>
    </row>
    <row r="716">
      <c r="A716" s="16" t="n"/>
    </row>
    <row r="717">
      <c r="A717" s="16" t="n"/>
    </row>
    <row r="718">
      <c r="A718" s="16" t="n"/>
    </row>
    <row r="719">
      <c r="A719" s="16" t="n"/>
    </row>
    <row r="720">
      <c r="A720" s="16" t="n"/>
    </row>
    <row r="721">
      <c r="A721" s="16" t="n"/>
    </row>
    <row r="722">
      <c r="A722" s="16" t="n"/>
    </row>
    <row r="723">
      <c r="A723" s="16" t="n"/>
    </row>
    <row r="724">
      <c r="A724" s="16" t="n"/>
    </row>
    <row r="725">
      <c r="A725" s="16" t="n"/>
    </row>
    <row r="726">
      <c r="A726" s="16" t="n"/>
    </row>
    <row r="727">
      <c r="A727" s="16" t="n"/>
    </row>
    <row r="728">
      <c r="A728" s="16" t="n"/>
    </row>
    <row r="729">
      <c r="A729" s="16" t="n"/>
    </row>
    <row r="730">
      <c r="A730" s="16" t="n"/>
    </row>
    <row r="731">
      <c r="A731" s="16" t="n"/>
    </row>
    <row r="732">
      <c r="A732" s="16" t="n"/>
    </row>
    <row r="733">
      <c r="A733" s="16" t="n"/>
    </row>
    <row r="734">
      <c r="A734" s="16" t="n"/>
    </row>
    <row r="735">
      <c r="A735" s="16" t="n"/>
    </row>
    <row r="736">
      <c r="A736" s="16" t="n"/>
    </row>
    <row r="737">
      <c r="A737" s="16" t="n"/>
    </row>
    <row r="738">
      <c r="A738" s="16" t="n"/>
    </row>
    <row r="739">
      <c r="A739" s="16" t="n"/>
    </row>
    <row r="740">
      <c r="A740" s="16" t="n"/>
    </row>
    <row r="741">
      <c r="A741" s="16" t="n"/>
    </row>
    <row r="742">
      <c r="A742" s="16" t="n"/>
    </row>
    <row r="743">
      <c r="A743" s="16" t="n"/>
    </row>
    <row r="744">
      <c r="A744" s="16" t="n"/>
    </row>
    <row r="745">
      <c r="A745" s="16" t="n"/>
    </row>
    <row r="746">
      <c r="A746" s="16" t="n"/>
    </row>
    <row r="747">
      <c r="A747" s="16" t="n"/>
    </row>
    <row r="748">
      <c r="A748" s="16" t="n"/>
    </row>
    <row r="749">
      <c r="A749" s="16" t="n"/>
    </row>
    <row r="750">
      <c r="A750" s="16" t="n"/>
    </row>
    <row r="751">
      <c r="A751" s="16" t="n"/>
    </row>
    <row r="752">
      <c r="A752" s="16" t="n"/>
    </row>
    <row r="753">
      <c r="A753" s="16" t="n"/>
    </row>
    <row r="754">
      <c r="A754" s="16" t="n"/>
    </row>
    <row r="755">
      <c r="A755" s="16" t="n"/>
    </row>
    <row r="756">
      <c r="A756" s="16" t="n"/>
    </row>
    <row r="757">
      <c r="A757" s="16" t="n"/>
    </row>
    <row r="758">
      <c r="A758" s="16" t="n"/>
    </row>
    <row r="759">
      <c r="A759" s="16" t="n"/>
    </row>
    <row r="760">
      <c r="A760" s="16" t="n"/>
    </row>
    <row r="761">
      <c r="A761" s="16" t="n"/>
    </row>
    <row r="762">
      <c r="A762" s="16" t="n"/>
    </row>
    <row r="763">
      <c r="A763" s="16" t="n"/>
    </row>
    <row r="764">
      <c r="A764" s="16" t="n"/>
    </row>
    <row r="765">
      <c r="A765" s="16" t="n"/>
    </row>
    <row r="766">
      <c r="A766" s="16" t="n"/>
    </row>
    <row r="767">
      <c r="A767" s="16" t="n"/>
    </row>
    <row r="768">
      <c r="A768" s="16" t="n"/>
    </row>
    <row r="769">
      <c r="A769" s="16" t="n"/>
    </row>
    <row r="770">
      <c r="A770" s="16" t="n"/>
    </row>
    <row r="771">
      <c r="A771" s="16" t="n"/>
    </row>
    <row r="772">
      <c r="A772" s="16" t="n"/>
    </row>
    <row r="773">
      <c r="A773" s="16" t="n"/>
    </row>
    <row r="774">
      <c r="A774" s="16" t="n"/>
    </row>
    <row r="775">
      <c r="A775" s="16" t="n"/>
    </row>
    <row r="776">
      <c r="A776" s="16" t="n"/>
    </row>
    <row r="777">
      <c r="A777" s="16" t="n"/>
    </row>
    <row r="778">
      <c r="A778" s="16" t="n"/>
    </row>
    <row r="779">
      <c r="A779" s="16" t="n"/>
    </row>
    <row r="780">
      <c r="A780" s="16" t="n"/>
    </row>
    <row r="781">
      <c r="A781" s="16" t="n"/>
    </row>
    <row r="782">
      <c r="A782" s="16" t="n"/>
    </row>
    <row r="783">
      <c r="A783" s="16" t="n"/>
    </row>
    <row r="784">
      <c r="A784" s="16" t="n"/>
    </row>
    <row r="785">
      <c r="A785" s="16" t="n"/>
    </row>
    <row r="786">
      <c r="A786" s="16" t="n"/>
    </row>
    <row r="787">
      <c r="A787" s="16" t="n"/>
    </row>
    <row r="788">
      <c r="A788" s="16" t="n"/>
    </row>
    <row r="789">
      <c r="A789" s="16" t="n"/>
    </row>
    <row r="790">
      <c r="A790" s="16" t="n"/>
    </row>
    <row r="791">
      <c r="A791" s="16" t="n"/>
    </row>
    <row r="792">
      <c r="A792" s="16" t="n"/>
    </row>
    <row r="793">
      <c r="A793" s="16" t="n"/>
    </row>
    <row r="794">
      <c r="A794" s="16" t="n"/>
    </row>
    <row r="795">
      <c r="A795" s="16" t="n"/>
    </row>
    <row r="796">
      <c r="A796" s="16" t="n"/>
    </row>
    <row r="797">
      <c r="A797" s="16" t="n"/>
    </row>
    <row r="798">
      <c r="A798" s="16" t="n"/>
    </row>
    <row r="799">
      <c r="A799" s="16" t="n"/>
    </row>
    <row r="800">
      <c r="A800" s="16" t="n"/>
    </row>
    <row r="801">
      <c r="A801" s="16" t="n"/>
    </row>
    <row r="802">
      <c r="A802" s="16" t="n"/>
    </row>
    <row r="803">
      <c r="A803" s="16" t="n"/>
    </row>
    <row r="804">
      <c r="A804" s="16" t="n"/>
    </row>
    <row r="805">
      <c r="A805" s="16" t="n"/>
    </row>
    <row r="806">
      <c r="A806" s="16" t="n"/>
    </row>
    <row r="807">
      <c r="A807" s="16" t="n"/>
    </row>
    <row r="808">
      <c r="A808" s="16" t="n"/>
    </row>
    <row r="809">
      <c r="A809" s="16" t="n"/>
    </row>
    <row r="810">
      <c r="A810" s="16" t="n"/>
    </row>
    <row r="811">
      <c r="A811" s="16" t="n"/>
    </row>
    <row r="812">
      <c r="A812" s="16" t="n"/>
    </row>
    <row r="813">
      <c r="A813" s="16" t="n"/>
    </row>
    <row r="814">
      <c r="A814" s="16" t="n"/>
    </row>
    <row r="815">
      <c r="A815" s="16" t="n"/>
    </row>
    <row r="816">
      <c r="A816" s="16" t="n"/>
    </row>
    <row r="817">
      <c r="A817" s="16" t="n"/>
    </row>
    <row r="818">
      <c r="A818" s="16" t="n"/>
    </row>
    <row r="819">
      <c r="A819" s="16" t="n"/>
    </row>
    <row r="820">
      <c r="A820" s="16" t="n"/>
    </row>
    <row r="821">
      <c r="A821" s="16" t="n"/>
    </row>
    <row r="822">
      <c r="A822" s="16" t="n"/>
    </row>
    <row r="823">
      <c r="A823" s="16" t="n"/>
    </row>
    <row r="824">
      <c r="A824" s="16" t="n"/>
    </row>
    <row r="825">
      <c r="A825" s="16" t="n"/>
    </row>
    <row r="826">
      <c r="A826" s="16" t="n"/>
    </row>
    <row r="827">
      <c r="A827" s="16" t="n"/>
    </row>
    <row r="828">
      <c r="A828" s="16" t="n"/>
    </row>
    <row r="829">
      <c r="A829" s="16" t="n"/>
    </row>
    <row r="830">
      <c r="A830" s="16" t="n"/>
    </row>
    <row r="831">
      <c r="A831" s="16" t="n"/>
    </row>
    <row r="832">
      <c r="A832" s="16" t="n"/>
    </row>
    <row r="833">
      <c r="A833" s="16" t="n"/>
    </row>
    <row r="834">
      <c r="A834" s="16" t="n"/>
    </row>
    <row r="835">
      <c r="A835" s="16" t="n"/>
    </row>
    <row r="836">
      <c r="A836" s="16" t="n"/>
    </row>
    <row r="837">
      <c r="A837" s="16" t="n"/>
    </row>
    <row r="838">
      <c r="A838" s="16" t="n"/>
    </row>
    <row r="839">
      <c r="A839" s="16" t="n"/>
    </row>
    <row r="840">
      <c r="A840" s="16" t="n"/>
    </row>
    <row r="841">
      <c r="A841" s="16" t="n"/>
    </row>
    <row r="842">
      <c r="A842" s="16" t="n"/>
    </row>
    <row r="843">
      <c r="A843" s="16" t="n"/>
    </row>
    <row r="844">
      <c r="A844" s="16" t="n"/>
    </row>
    <row r="845">
      <c r="A845" s="16" t="n"/>
    </row>
    <row r="846">
      <c r="A846" s="16" t="n"/>
    </row>
    <row r="847">
      <c r="A847" s="16" t="n"/>
    </row>
    <row r="848">
      <c r="A848" s="16" t="n"/>
    </row>
    <row r="849">
      <c r="A849" s="16" t="n"/>
    </row>
    <row r="850">
      <c r="A850" s="16" t="n"/>
    </row>
    <row r="851">
      <c r="A851" s="16" t="n"/>
    </row>
    <row r="852">
      <c r="A852" s="16" t="n"/>
    </row>
    <row r="853">
      <c r="A853" s="16" t="n"/>
    </row>
    <row r="854">
      <c r="A854" s="16" t="n"/>
    </row>
    <row r="855">
      <c r="A855" s="16" t="n"/>
    </row>
    <row r="856">
      <c r="A856" s="16" t="n"/>
    </row>
    <row r="857">
      <c r="A857" s="16" t="n"/>
    </row>
    <row r="858">
      <c r="A858" s="16" t="n"/>
    </row>
    <row r="859">
      <c r="A859" s="16" t="n"/>
    </row>
    <row r="860">
      <c r="A860" s="16" t="n"/>
    </row>
    <row r="861">
      <c r="A861" s="16" t="n"/>
    </row>
    <row r="862">
      <c r="A862" s="16" t="n"/>
    </row>
    <row r="863">
      <c r="A863" s="16" t="n"/>
    </row>
    <row r="864">
      <c r="A864" s="16" t="n"/>
    </row>
    <row r="865">
      <c r="A865" s="16" t="n"/>
    </row>
    <row r="866">
      <c r="A866" s="16" t="n"/>
    </row>
    <row r="867">
      <c r="A867" s="16" t="n"/>
    </row>
    <row r="868">
      <c r="A868" s="16" t="n"/>
    </row>
    <row r="869">
      <c r="A869" s="16" t="n"/>
    </row>
    <row r="870">
      <c r="A870" s="16" t="n"/>
    </row>
    <row r="871">
      <c r="A871" s="16" t="n"/>
    </row>
    <row r="872">
      <c r="A872" s="16" t="n"/>
    </row>
    <row r="873">
      <c r="A873" s="16" t="n"/>
    </row>
    <row r="874">
      <c r="A874" s="16" t="n"/>
    </row>
    <row r="875">
      <c r="A875" s="16" t="n"/>
    </row>
    <row r="876">
      <c r="A876" s="16" t="n"/>
    </row>
    <row r="877">
      <c r="A877" s="16" t="n"/>
    </row>
    <row r="878">
      <c r="A878" s="16" t="n"/>
    </row>
    <row r="879">
      <c r="A879" s="16" t="n"/>
    </row>
    <row r="880">
      <c r="A880" s="16" t="n"/>
    </row>
    <row r="881">
      <c r="A881" s="16" t="n"/>
    </row>
    <row r="882">
      <c r="A882" s="16" t="n"/>
    </row>
    <row r="883">
      <c r="A883" s="16" t="n"/>
    </row>
    <row r="884">
      <c r="A884" s="16" t="n"/>
    </row>
    <row r="885">
      <c r="A885" s="16" t="n"/>
    </row>
    <row r="886">
      <c r="A886" s="16" t="n"/>
    </row>
    <row r="887">
      <c r="A887" s="16" t="n"/>
    </row>
    <row r="888">
      <c r="A888" s="16" t="n"/>
    </row>
    <row r="889">
      <c r="A889" s="16" t="n"/>
    </row>
    <row r="890">
      <c r="A890" s="16" t="n"/>
    </row>
    <row r="891">
      <c r="A891" s="16" t="n"/>
    </row>
    <row r="892">
      <c r="A892" s="16" t="n"/>
    </row>
    <row r="893">
      <c r="A893" s="16" t="n"/>
    </row>
    <row r="894">
      <c r="A894" s="16" t="n"/>
    </row>
    <row r="895">
      <c r="A895" s="16" t="n"/>
    </row>
    <row r="896">
      <c r="A896" s="16" t="n"/>
    </row>
    <row r="897">
      <c r="A897" s="16" t="n"/>
    </row>
    <row r="898">
      <c r="A898" s="16" t="n"/>
    </row>
    <row r="899">
      <c r="A899" s="16" t="n"/>
    </row>
    <row r="900">
      <c r="A900" s="16" t="n"/>
    </row>
    <row r="901">
      <c r="A901" s="16" t="n"/>
    </row>
    <row r="902">
      <c r="A902" s="16" t="n"/>
    </row>
    <row r="903">
      <c r="A903" s="16" t="n"/>
    </row>
    <row r="904">
      <c r="A904" s="16" t="n"/>
    </row>
    <row r="905">
      <c r="A905" s="16" t="n"/>
    </row>
    <row r="906">
      <c r="A906" s="16" t="n"/>
    </row>
    <row r="907">
      <c r="A907" s="16" t="n"/>
    </row>
    <row r="908">
      <c r="A908" s="16" t="n"/>
    </row>
    <row r="909">
      <c r="A909" s="16" t="n"/>
    </row>
    <row r="910">
      <c r="A910" s="16" t="n"/>
    </row>
    <row r="911">
      <c r="A911" s="16" t="n"/>
    </row>
    <row r="912">
      <c r="A912" s="16" t="n"/>
    </row>
    <row r="913">
      <c r="A913" s="16" t="n"/>
    </row>
    <row r="914">
      <c r="A914" s="16" t="n"/>
    </row>
    <row r="915">
      <c r="A915" s="16" t="n"/>
    </row>
    <row r="916">
      <c r="A916" s="16" t="n"/>
    </row>
    <row r="917">
      <c r="A917" s="16" t="n"/>
    </row>
    <row r="918">
      <c r="A918" s="16" t="n"/>
    </row>
    <row r="919">
      <c r="A919" s="16" t="n"/>
    </row>
    <row r="920">
      <c r="A920" s="16" t="n"/>
    </row>
    <row r="921">
      <c r="A921" s="16" t="n"/>
    </row>
    <row r="922">
      <c r="A922" s="16" t="n"/>
    </row>
    <row r="923">
      <c r="A923" s="16" t="n"/>
    </row>
    <row r="924">
      <c r="A924" s="16" t="n"/>
    </row>
    <row r="925">
      <c r="A925" s="16" t="n"/>
    </row>
    <row r="926">
      <c r="A926" s="16" t="n"/>
    </row>
    <row r="927">
      <c r="A927" s="16" t="n"/>
    </row>
    <row r="928">
      <c r="A928" s="16" t="n"/>
    </row>
    <row r="929">
      <c r="A929" s="16" t="n"/>
    </row>
    <row r="930">
      <c r="A930" s="16" t="n"/>
    </row>
    <row r="931">
      <c r="A931" s="16" t="n"/>
    </row>
    <row r="932">
      <c r="A932" s="16" t="n"/>
    </row>
    <row r="933">
      <c r="A933" s="16" t="n"/>
    </row>
    <row r="934">
      <c r="A934" s="16" t="n"/>
    </row>
    <row r="935">
      <c r="A935" s="16" t="n"/>
    </row>
    <row r="936">
      <c r="A936" s="16" t="n"/>
    </row>
    <row r="937">
      <c r="A937" s="16" t="n"/>
    </row>
    <row r="938">
      <c r="A938" s="16" t="n"/>
    </row>
    <row r="939">
      <c r="A939" s="16" t="n"/>
    </row>
    <row r="940">
      <c r="A940" s="16" t="n"/>
    </row>
    <row r="941">
      <c r="A941" s="16" t="n"/>
    </row>
    <row r="942">
      <c r="A942" s="16" t="n"/>
    </row>
    <row r="943">
      <c r="A943" s="16" t="n"/>
    </row>
    <row r="944">
      <c r="A944" s="16" t="n"/>
    </row>
    <row r="945">
      <c r="A945" s="16" t="n"/>
    </row>
    <row r="946">
      <c r="A946" s="16" t="n"/>
    </row>
    <row r="947">
      <c r="A947" s="16" t="n"/>
    </row>
    <row r="948">
      <c r="A948" s="16" t="n"/>
    </row>
    <row r="949">
      <c r="A949" s="16" t="n"/>
    </row>
    <row r="950">
      <c r="A950" s="16" t="n"/>
    </row>
    <row r="951">
      <c r="A951" s="16" t="n"/>
    </row>
    <row r="952">
      <c r="A952" s="16" t="n"/>
    </row>
    <row r="953">
      <c r="A953" s="16" t="n"/>
    </row>
    <row r="954">
      <c r="A954" s="16" t="n"/>
    </row>
    <row r="955">
      <c r="A955" s="16" t="n"/>
    </row>
    <row r="956">
      <c r="A956" s="16" t="n"/>
    </row>
    <row r="957">
      <c r="A957" s="16" t="n"/>
    </row>
    <row r="958">
      <c r="A958" s="16" t="n"/>
    </row>
    <row r="959">
      <c r="A959" s="16" t="n"/>
    </row>
    <row r="960">
      <c r="A960" s="16" t="n"/>
    </row>
    <row r="961">
      <c r="A961" s="16" t="n"/>
    </row>
    <row r="962">
      <c r="A962" s="16" t="n"/>
    </row>
    <row r="963">
      <c r="A963" s="16" t="n"/>
    </row>
    <row r="964">
      <c r="A964" s="16" t="n"/>
    </row>
    <row r="965">
      <c r="A965" s="16" t="n"/>
    </row>
    <row r="966">
      <c r="A966" s="16" t="n"/>
    </row>
    <row r="967">
      <c r="A967" s="16" t="n"/>
    </row>
    <row r="968">
      <c r="A968" s="16" t="n"/>
    </row>
    <row r="969">
      <c r="A969" s="16" t="n"/>
    </row>
    <row r="970">
      <c r="A970" s="16" t="n"/>
    </row>
    <row r="971">
      <c r="A971" s="16" t="n"/>
    </row>
    <row r="972">
      <c r="A972" s="16" t="n"/>
    </row>
    <row r="973">
      <c r="A973" s="16" t="n"/>
    </row>
    <row r="974">
      <c r="A974" s="16" t="n"/>
    </row>
    <row r="975">
      <c r="A975" s="16" t="n"/>
    </row>
    <row r="976">
      <c r="A976" s="16" t="n"/>
    </row>
    <row r="977">
      <c r="A977" s="16" t="n"/>
    </row>
    <row r="978">
      <c r="A978" s="16" t="n"/>
    </row>
    <row r="979">
      <c r="A979" s="16" t="n"/>
    </row>
    <row r="980">
      <c r="A980" s="16" t="n"/>
    </row>
    <row r="981">
      <c r="A981" s="16" t="n"/>
    </row>
    <row r="982">
      <c r="A982" s="16" t="n"/>
    </row>
    <row r="983">
      <c r="A983" s="16" t="n"/>
    </row>
    <row r="984">
      <c r="A984" s="16" t="n"/>
    </row>
    <row r="985">
      <c r="A985" s="16" t="n"/>
    </row>
    <row r="986">
      <c r="A986" s="16" t="n"/>
    </row>
    <row r="987">
      <c r="A987" s="16" t="n"/>
    </row>
    <row r="988">
      <c r="A988" s="16" t="n"/>
    </row>
    <row r="989">
      <c r="A989" s="16" t="n"/>
    </row>
    <row r="990">
      <c r="A990" s="16" t="n"/>
    </row>
    <row r="991">
      <c r="A991" s="16" t="n"/>
    </row>
    <row r="992">
      <c r="A992" s="16" t="n"/>
    </row>
    <row r="993">
      <c r="A993" s="16" t="n"/>
    </row>
    <row r="994">
      <c r="A994" s="16" t="n"/>
    </row>
    <row r="995">
      <c r="A995" s="16" t="n"/>
    </row>
    <row r="996">
      <c r="A996" s="16" t="n"/>
    </row>
    <row r="997">
      <c r="A997" s="16" t="n"/>
    </row>
    <row r="998">
      <c r="A998" s="16" t="n"/>
    </row>
    <row r="999">
      <c r="A999" s="16" t="n"/>
    </row>
    <row r="1000">
      <c r="A1000" s="16" t="n"/>
    </row>
    <row r="1001">
      <c r="A1001" s="16" t="n"/>
    </row>
    <row r="1002">
      <c r="A1002" s="16" t="n"/>
    </row>
    <row r="1003">
      <c r="A1003" s="16" t="n"/>
    </row>
    <row r="1004">
      <c r="A1004" s="16" t="n"/>
    </row>
    <row r="1005">
      <c r="A1005" s="16" t="n"/>
    </row>
    <row r="1006">
      <c r="A1006" s="16" t="n"/>
    </row>
    <row r="1007">
      <c r="A1007" s="16" t="n"/>
    </row>
    <row r="1008">
      <c r="A1008" s="16" t="n"/>
    </row>
    <row r="1009">
      <c r="A1009" s="16" t="n"/>
    </row>
    <row r="1010">
      <c r="A1010" s="16" t="n"/>
    </row>
    <row r="1011">
      <c r="A1011" s="16" t="n"/>
    </row>
    <row r="1012">
      <c r="A1012" s="16" t="n"/>
    </row>
    <row r="1013">
      <c r="A1013" s="16" t="n"/>
    </row>
    <row r="1014">
      <c r="A1014" s="16" t="n"/>
    </row>
    <row r="1015">
      <c r="A1015" s="16" t="n"/>
    </row>
    <row r="1016">
      <c r="A1016" s="16" t="n"/>
    </row>
    <row r="1017">
      <c r="A1017" s="16" t="n"/>
    </row>
    <row r="1018">
      <c r="A1018" s="16" t="n"/>
    </row>
    <row r="1019">
      <c r="A1019" s="16" t="n"/>
    </row>
    <row r="1020">
      <c r="A1020" s="16" t="n"/>
    </row>
    <row r="1021">
      <c r="A1021" s="16" t="n"/>
    </row>
    <row r="1022">
      <c r="A1022" s="16" t="n"/>
    </row>
    <row r="1023">
      <c r="A1023" s="16" t="n"/>
    </row>
    <row r="1024">
      <c r="A1024" s="16" t="n"/>
    </row>
    <row r="1025">
      <c r="A1025" s="16" t="n"/>
    </row>
    <row r="1026">
      <c r="A1026" s="16" t="n"/>
    </row>
    <row r="1027">
      <c r="A1027" s="16" t="n"/>
    </row>
  </sheetData>
  <mergeCells count="24">
    <mergeCell ref="A116:D116"/>
    <mergeCell ref="A17:D17"/>
    <mergeCell ref="A141:D141"/>
    <mergeCell ref="A234:D234"/>
    <mergeCell ref="A131:D131"/>
    <mergeCell ref="A224:D224"/>
    <mergeCell ref="A100:D100"/>
    <mergeCell ref="A38:D38"/>
    <mergeCell ref="A125:D125"/>
    <mergeCell ref="A34:D34"/>
    <mergeCell ref="A60:D60"/>
    <mergeCell ref="A94:D94"/>
    <mergeCell ref="A70:D70"/>
    <mergeCell ref="A79:D79"/>
    <mergeCell ref="A54:D54"/>
    <mergeCell ref="A7:D7"/>
    <mergeCell ref="A137:D137"/>
    <mergeCell ref="A105:D105"/>
    <mergeCell ref="A214:D214"/>
    <mergeCell ref="A26:D26"/>
    <mergeCell ref="A85:D85"/>
    <mergeCell ref="A242:D242"/>
    <mergeCell ref="A204:D204"/>
    <mergeCell ref="A47:D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style="25" min="1" max="1"/>
    <col width="10" customWidth="1" style="25" min="2" max="2"/>
    <col width="25" customWidth="1" style="25" min="3" max="3"/>
    <col width="50" customWidth="1" style="25" min="4" max="4"/>
    <col width="50" customWidth="1" style="25" min="5" max="5"/>
  </cols>
  <sheetData>
    <row r="1">
      <c r="A1" s="27" t="inlineStr">
        <is>
          <t>Week</t>
        </is>
      </c>
      <c r="B1" s="27" t="inlineStr">
        <is>
          <t>Day</t>
        </is>
      </c>
      <c r="C1" s="27" t="inlineStr">
        <is>
          <t>Entrepreneurship Theme</t>
        </is>
      </c>
      <c r="D1" s="27" t="inlineStr">
        <is>
          <t>Professional AI Track (2026 Ready)</t>
        </is>
      </c>
      <c r="E1" s="27" t="inlineStr">
        <is>
          <t>Fun &amp; Guided AI Track (Activity-Based)</t>
        </is>
      </c>
    </row>
    <row r="2">
      <c r="A2" s="28" t="inlineStr">
        <is>
          <t>Week 1</t>
        </is>
      </c>
      <c r="B2" s="28" t="inlineStr">
        <is>
          <t>Day 2</t>
        </is>
      </c>
      <c r="C2" s="28" t="inlineStr">
        <is>
          <t>Entrepreneurship Intro</t>
        </is>
      </c>
      <c r="D2" s="28" t="inlineStr">
        <is>
          <t>Foundations: LLM Mechanics. Skills: Probabilistic Logic (C), Structured Prompting (T), Algorithmic Equity (S). Tools: Claude 4, Perplexity Pro.</t>
        </is>
      </c>
      <c r="E2" s="28" t="inlineStr">
        <is>
          <t>The AI Whisperer: A game where teams compete to make an AI guess a secret 'problem' word without using it. Teaches prompt precision through play.</t>
        </is>
      </c>
    </row>
    <row r="3">
      <c r="A3" s="28" t="inlineStr">
        <is>
          <t>Week 1</t>
        </is>
      </c>
      <c r="B3" s="28" t="inlineStr">
        <is>
          <t>Day 3</t>
        </is>
      </c>
      <c r="C3" s="28" t="inlineStr">
        <is>
          <t>Social Innovation</t>
        </is>
      </c>
      <c r="D3" s="28" t="inlineStr">
        <is>
          <t>AI as Co-Creator: Rapid Ideation. Skills: Collaborative Design (C), Multimodal Engineering (T), Creative Ownership (S). Tools: Ideogram 2.0, ChatGPT Canvas.</t>
        </is>
      </c>
      <c r="E3" s="28" t="inlineStr">
        <is>
          <t>Founder's Remix: Use AI to 'remix' 3 random household objects into a social enterprise for a superhero. Goal: 10 wild ideas in 10 minutes.</t>
        </is>
      </c>
    </row>
    <row r="4">
      <c r="A4" s="28" t="inlineStr">
        <is>
          <t>Week 1</t>
        </is>
      </c>
      <c r="B4" s="28" t="inlineStr">
        <is>
          <t>Day 4</t>
        </is>
      </c>
      <c r="C4" s="28" t="inlineStr">
        <is>
          <t>Problem Analysis</t>
        </is>
      </c>
      <c r="D4" s="28" t="inlineStr">
        <is>
          <t>Systems Thinking: Mapping Complexity. Skills: Root Cause Analysis (C), Long-Context Management (T), Stakeholder Inclusivity (S). Tools: Napkin AI, Miro Assist.</t>
        </is>
      </c>
      <c r="E4" s="28" t="inlineStr">
        <is>
          <t>The Domino Effect: Use AI to predict the 5 most ridiculous (and 5 most serious) consequences of solving their chosen problem in their neighborhood.</t>
        </is>
      </c>
    </row>
    <row r="5">
      <c r="A5" s="28" t="inlineStr">
        <is>
          <t>Week 2</t>
        </is>
      </c>
      <c r="B5" s="28" t="inlineStr">
        <is>
          <t>Day 1</t>
        </is>
      </c>
      <c r="C5" s="28" t="inlineStr">
        <is>
          <t>User Analysis &amp; Empathy</t>
        </is>
      </c>
      <c r="D5" s="28" t="inlineStr">
        <is>
          <t>Synthetic Personas: User Empathy. Skills: Perspective Taking (C), Role-play Prompting (T), Empathy Gap Awareness (S). Tools: Character.ai, Hume AI.</t>
        </is>
      </c>
      <c r="E5" s="28" t="inlineStr">
        <is>
          <t>The Grumpy User: Teams prompt an AI to act as a very difficult, skeptical customer. The goal is to 'interview' them and turn their frown into an emoji.</t>
        </is>
      </c>
    </row>
    <row r="6">
      <c r="A6" s="28" t="inlineStr">
        <is>
          <t>Week 2</t>
        </is>
      </c>
      <c r="B6" s="28" t="inlineStr">
        <is>
          <t>Day 2</t>
        </is>
      </c>
      <c r="C6" s="28" t="inlineStr">
        <is>
          <t>Customer Discovery</t>
        </is>
      </c>
      <c r="D6" s="28" t="inlineStr">
        <is>
          <t>Automated Insights: Field Research. Skills: Qualitative Synthesis (C), Autonomous Web Agents (T), Privacy &amp; Consent (S). Tools: Browse.ai, Fireflies.ai.</t>
        </is>
      </c>
      <c r="E6" s="28" t="inlineStr">
        <is>
          <t>Treasure Hunt: Ask AI to find 3 'weird but true' complaints from real internet forums related to their startup topic. Dig for the 'hidden gold' in complaints.</t>
        </is>
      </c>
    </row>
    <row r="7">
      <c r="A7" s="28" t="inlineStr">
        <is>
          <t>Week 2</t>
        </is>
      </c>
      <c r="B7" s="28" t="inlineStr">
        <is>
          <t>Day 3</t>
        </is>
      </c>
      <c r="C7" s="28" t="inlineStr">
        <is>
          <t>Design Challenge &amp; Synthesis</t>
        </is>
      </c>
      <c r="D7" s="28" t="inlineStr">
        <is>
          <t>Pattern Recognition: Data Synthesis. Skills: Information Architecture (C), RAG-Based Retrieval (T), Collective Intelligence (S). Tools: NotebookLM, Heptabase.</t>
        </is>
      </c>
      <c r="E7" s="28" t="inlineStr">
        <is>
          <t>The Translator: Take a messy pile of team notes and use AI to 'translate' them into a Haiku, a Rap, and a professional mission statement.</t>
        </is>
      </c>
    </row>
    <row r="8">
      <c r="A8" s="28" t="inlineStr">
        <is>
          <t>Week 2</t>
        </is>
      </c>
      <c r="B8" s="28" t="inlineStr">
        <is>
          <t>Day 5</t>
        </is>
      </c>
      <c r="C8" s="28" t="inlineStr">
        <is>
          <t>Prototyping</t>
        </is>
      </c>
      <c r="D8" s="28" t="inlineStr">
        <is>
          <t>The No-Code Forge: UI Prototyping. Skills: Modular Design (C), Component Prompting (T), Digital Accessibility (S). Tools: v0.dev, Replit Agent.</t>
        </is>
      </c>
      <c r="E8" s="28" t="inlineStr">
        <is>
          <t>Sketch-to-Magic: Draw a 'napkin sketch' of an app screen on paper, take a photo, and use AI to describe exactly how it should look and feel as a real app.</t>
        </is>
      </c>
    </row>
    <row r="9">
      <c r="A9" s="28" t="inlineStr">
        <is>
          <t>Week 3</t>
        </is>
      </c>
      <c r="B9" s="28" t="inlineStr">
        <is>
          <t>Day 1</t>
        </is>
      </c>
      <c r="C9" s="28" t="inlineStr">
        <is>
          <t>Competitive Analysis</t>
        </is>
      </c>
      <c r="D9" s="28" t="inlineStr">
        <is>
          <t>Strategic Intel: Comp Analysis. Skills: SWOT 2.0 (C), Multi-agent Research (T), Fair Competition Ethics (S). Tools: Perplexity (Research Mode), Elicit.</t>
        </is>
      </c>
      <c r="E9" s="28" t="inlineStr">
        <is>
          <t>The Spy Agency: Use AI to find the 'Weakest Link' in a giant company (like Nike or Amazon) and brainstorm how a small youth team could do it better.</t>
        </is>
      </c>
    </row>
    <row r="10">
      <c r="A10" s="28" t="inlineStr">
        <is>
          <t>Week 3</t>
        </is>
      </c>
      <c r="B10" s="28" t="inlineStr">
        <is>
          <t>Day 2</t>
        </is>
      </c>
      <c r="C10" s="28" t="inlineStr">
        <is>
          <t>Reflection &amp; Mid-Course</t>
        </is>
      </c>
      <c r="D10" s="28" t="inlineStr">
        <is>
          <t>AI Governance: Bias Auditing. Skills: Meta-cognition (C), Model Comparison (T), Intellectual Integrity (S). Tools: Anthropic (Constitutional AI), Weights &amp; Biases.</t>
        </is>
      </c>
      <c r="E10" s="28" t="inlineStr">
        <is>
          <t>Robot Court: Put an AI on trial for 'being biased' against a certain neighborhood. Students act as lawyers for and against the AI.</t>
        </is>
      </c>
    </row>
    <row r="11">
      <c r="A11" s="28" t="inlineStr">
        <is>
          <t>Week 3</t>
        </is>
      </c>
      <c r="B11" s="28" t="inlineStr">
        <is>
          <t>Day 3</t>
        </is>
      </c>
      <c r="C11" s="28" t="inlineStr">
        <is>
          <t>Business Modeling</t>
        </is>
      </c>
      <c r="D11" s="28" t="inlineStr">
        <is>
          <t>Biz Models: Unit Economics Agent. Skills: Scalability Modeling (C), Logic-Chain Formulae (T), Sustainable Value (S). Tools: Equals, Julius AI.</t>
        </is>
      </c>
      <c r="E11" s="28" t="inlineStr">
        <is>
          <t>The Money Tree: Use AI to find the 5 weirdest ways anyone has ever made $1 from an idea similar to theirs (e.g., selling digital badges or advice).</t>
        </is>
      </c>
    </row>
    <row r="12">
      <c r="A12" s="28" t="inlineStr">
        <is>
          <t>Week 3</t>
        </is>
      </c>
      <c r="B12" s="28" t="inlineStr">
        <is>
          <t>Day 5</t>
        </is>
      </c>
      <c r="C12" s="28" t="inlineStr">
        <is>
          <t>MVP Creation</t>
        </is>
      </c>
      <c r="D12" s="28" t="inlineStr">
        <is>
          <t>MVP Validation: Traction Hacking. Skills: Lean Methodology (C), Chatbot Orchestration (T), User Trust Building (S). Tools: Typeform AI, Intercom Fin.</t>
        </is>
      </c>
      <c r="E12" s="28" t="inlineStr">
        <is>
          <t>The 5-Minute Bot: Build a simple AI 'Assistant' for their startup that can only talk in Emojis and Gen-Z slang. Test it on other teams for 'vibe checks'.</t>
        </is>
      </c>
    </row>
    <row r="13">
      <c r="A13" s="28" t="inlineStr">
        <is>
          <t>Week 4</t>
        </is>
      </c>
      <c r="B13" s="28" t="inlineStr">
        <is>
          <t>Day 1</t>
        </is>
      </c>
      <c r="C13" s="28" t="inlineStr">
        <is>
          <t>Market Analysis</t>
        </is>
      </c>
      <c r="D13" s="28" t="inlineStr">
        <is>
          <t>Industry Forecasting: Market Analysis. Skills: Trend Extrapolation (C), Synthetic Data Simulation (T), Socio-Economic Impact (S). Tools: AlphaSense, Statista AI.</t>
        </is>
      </c>
      <c r="E13" s="28" t="inlineStr">
        <is>
          <t>Time Traveler: Ask AI to write a 'Front Page' news article from the year 2040 explaining why their youth startup changed the world.</t>
        </is>
      </c>
    </row>
    <row r="14">
      <c r="A14" s="28" t="inlineStr">
        <is>
          <t>Week 4</t>
        </is>
      </c>
      <c r="B14" s="28" t="inlineStr">
        <is>
          <t>Day 2</t>
        </is>
      </c>
      <c r="C14" s="28" t="inlineStr">
        <is>
          <t>Costing &amp; Financials</t>
        </is>
      </c>
      <c r="D14" s="28" t="inlineStr">
        <is>
          <t>Predictive Accounting: Risk Modeling. Skills: Scenario Planning (C), Spreadsheet Automation (T), Financial Transparency (S). Tools: FinChat.io, Rows.com.</t>
        </is>
      </c>
      <c r="E14" s="28" t="inlineStr">
        <is>
          <t>The Dragon's Hoard: A simulation where teams use AI to calculate how long their 'startup gold' lasts if they spend like a King vs. a frugal Inventor.</t>
        </is>
      </c>
    </row>
    <row r="15">
      <c r="A15" s="28" t="inlineStr">
        <is>
          <t>Week 4</t>
        </is>
      </c>
      <c r="B15" s="28" t="inlineStr">
        <is>
          <t>Day 3</t>
        </is>
      </c>
      <c r="C15" s="28" t="inlineStr">
        <is>
          <t>Pitching Introduction</t>
        </is>
      </c>
      <c r="D15" s="28" t="inlineStr">
        <is>
          <t>The Virtual Shark Tank: Pitch Prep. Skills: Persuasive Communication (C), Real-time Speech Analysis (T), Handling Critique (S). Tools: Poised, Orai AI.</t>
        </is>
      </c>
      <c r="E15" s="28" t="inlineStr">
        <is>
          <t>The Elevator Race: A contest to see who can get AI to write the most persuasive (and funniest) 30-second pitch for their business.</t>
        </is>
      </c>
    </row>
    <row r="16">
      <c r="A16" s="28" t="inlineStr">
        <is>
          <t>Week 5</t>
        </is>
      </c>
      <c r="B16" s="28" t="inlineStr">
        <is>
          <t>Day 1-2</t>
        </is>
      </c>
      <c r="C16" s="28" t="inlineStr">
        <is>
          <t>Finals &amp; Polish</t>
        </is>
      </c>
      <c r="D16" s="28" t="inlineStr">
        <is>
          <t>AI Pitch Polish. Skills: Storytelling Rhetoric (C), Video Synthesis (T). Tools: HeyGen, Canva Magic Media.</t>
        </is>
      </c>
      <c r="E16" s="28" t="inlineStr">
        <is>
          <t>Hollywood Trailer: Use AI to create a 60-second 'Movie Trailer' script and AI voice-over for their final pitch presentation.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2026-05-14T00:09:29Z</dcterms:created>
  <dcterms:modified xmlns:dcterms="http://purl.org/dc/terms/" xmlns:xsi="http://www.w3.org/2001/XMLSchema-instance" xsi:type="dcterms:W3CDTF">2026-05-14T03:46:07Z</dcterms:modified>
</cp:coreProperties>
</file>